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ortfolio_Input" sheetId="2" state="visible" r:id="rId2"/>
    <sheet xmlns:r="http://schemas.openxmlformats.org/officeDocument/2006/relationships" name="Price_Reference" sheetId="3" state="visible" r:id="rId3"/>
    <sheet xmlns:r="http://schemas.openxmlformats.org/officeDocument/2006/relationships" name="Portfolio_Calc" sheetId="4" state="visible" r:id="rId4"/>
    <sheet xmlns:r="http://schemas.openxmlformats.org/officeDocument/2006/relationships" name="Dashboard" sheetId="5" state="visible" r:id="rId5"/>
    <sheet xmlns:r="http://schemas.openxmlformats.org/officeDocument/2006/relationships" name="Transactions" sheetId="6" state="visible" r:id="rId6"/>
    <sheet xmlns:r="http://schemas.openxmlformats.org/officeDocument/2006/relationships" name="Summary" sheetId="7" state="visible" r:id="rId7"/>
    <sheet xmlns:r="http://schemas.openxmlformats.org/officeDocument/2006/relationships" name="Methodology" sheetId="8" state="visible" r:id="rId8"/>
  </sheets>
  <definedNames/>
  <calcPr calcId="124519" fullCalcOnLoad="1"/>
</workbook>
</file>

<file path=xl/styles.xml><?xml version="1.0" encoding="utf-8"?>
<styleSheet xmlns="http://schemas.openxmlformats.org/spreadsheetml/2006/main">
  <numFmts count="4">
    <numFmt numFmtId="164" formatCode="yyyy-mm-dd h:mm:ss"/>
    <numFmt numFmtId="165" formatCode="₹#,##0.00"/>
    <numFmt numFmtId="166" formatCode="dd-mmm-yyyy"/>
    <numFmt numFmtId="167" formatCode="0.0%"/>
  </numFmts>
  <fonts count="14">
    <font>
      <name val="Calibri"/>
      <family val="2"/>
      <color theme="1"/>
      <sz val="11"/>
      <scheme val="minor"/>
    </font>
    <font>
      <name val="Arial"/>
      <b val="1"/>
      <color rgb="00FFFFFF"/>
      <sz val="14"/>
    </font>
    <font>
      <name val="Arial"/>
      <b val="1"/>
      <color rgb="001F3864"/>
      <sz val="12"/>
    </font>
    <font>
      <name val="Arial"/>
      <color rgb="00666666"/>
      <sz val="11"/>
    </font>
    <font>
      <name val="Arial"/>
      <color rgb="001F3864"/>
      <sz val="11"/>
    </font>
    <font>
      <name val="Arial"/>
      <color rgb="00666666"/>
      <sz val="10"/>
    </font>
    <font>
      <name val="Arial"/>
      <color rgb="00000000"/>
      <sz val="10"/>
    </font>
    <font>
      <name val="Arial"/>
      <b val="1"/>
      <color rgb="001F3864"/>
      <sz val="11"/>
    </font>
    <font>
      <name val="Arial"/>
      <b val="1"/>
      <color rgb="00FFFFFF"/>
      <sz val="10"/>
    </font>
    <font>
      <name val="Arial"/>
      <color rgb="000000FF"/>
      <sz val="10"/>
    </font>
    <font>
      <name val="Arial"/>
      <i val="1"/>
      <color rgb="00666666"/>
      <sz val="9"/>
    </font>
    <font>
      <name val="Arial"/>
      <b val="1"/>
      <color rgb="001F3864"/>
      <sz val="10"/>
    </font>
    <font>
      <name val="Arial"/>
      <b val="1"/>
      <color rgb="00000000"/>
      <sz val="10"/>
    </font>
    <font>
      <name val="Arial"/>
      <b val="1"/>
      <color rgb="00000000"/>
      <sz val="12"/>
    </font>
  </fonts>
  <fills count="5">
    <fill>
      <patternFill/>
    </fill>
    <fill>
      <patternFill patternType="gray125"/>
    </fill>
    <fill>
      <patternFill patternType="solid">
        <fgColor rgb="00F2F2F2"/>
        <bgColor rgb="00F2F2F2"/>
      </patternFill>
    </fill>
    <fill>
      <patternFill patternType="solid">
        <fgColor rgb="001F3864"/>
        <bgColor rgb="001F3864"/>
      </patternFill>
    </fill>
    <fill>
      <patternFill patternType="solid">
        <fgColor rgb="00D9E1F2"/>
        <bgColor rgb="00D9E1F2"/>
      </patternFill>
    </fill>
  </fills>
  <borders count="3">
    <border>
      <left/>
      <right/>
      <top/>
      <bottom/>
      <diagonal/>
    </border>
    <border>
      <left style="thin">
        <color rgb="007F7F7F"/>
      </left>
      <right style="thin">
        <color rgb="007F7F7F"/>
      </right>
      <top style="thin">
        <color rgb="007F7F7F"/>
      </top>
      <bottom style="thin">
        <color rgb="007F7F7F"/>
      </bottom>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pivotButton="0" quotePrefix="0" xfId="0"/>
    <xf numFmtId="0" fontId="5" fillId="2" borderId="0" pivotButton="0" quotePrefix="0" xfId="0"/>
    <xf numFmtId="0" fontId="6" fillId="2" borderId="0" pivotButton="0" quotePrefix="0" xfId="0"/>
    <xf numFmtId="0" fontId="7" fillId="2" borderId="0" pivotButton="0" quotePrefix="0" xfId="0"/>
    <xf numFmtId="0" fontId="8" fillId="3" borderId="1" applyAlignment="1" pivotButton="0" quotePrefix="0" xfId="0">
      <alignment horizontal="center" vertical="center" wrapText="1"/>
    </xf>
    <xf numFmtId="0" fontId="9" fillId="0" borderId="2" applyAlignment="1" pivotButton="0" quotePrefix="0" xfId="0">
      <alignment vertical="center" wrapText="1"/>
    </xf>
    <xf numFmtId="165" fontId="9" fillId="0" borderId="2" applyAlignment="1" pivotButton="0" quotePrefix="0" xfId="0">
      <alignment horizontal="right"/>
    </xf>
    <xf numFmtId="166" fontId="9" fillId="0" borderId="2" applyAlignment="1" pivotButton="0" quotePrefix="0" xfId="0">
      <alignment vertical="center" wrapText="1"/>
    </xf>
    <xf numFmtId="0" fontId="9" fillId="0" borderId="2" applyAlignment="1" pivotButton="0" quotePrefix="0" xfId="0">
      <alignment wrapText="1"/>
    </xf>
    <xf numFmtId="0" fontId="10" fillId="0" borderId="0" pivotButton="0" quotePrefix="0" xfId="0"/>
    <xf numFmtId="0" fontId="9" fillId="0" borderId="2" pivotButton="0" quotePrefix="0" xfId="0"/>
    <xf numFmtId="166" fontId="9" fillId="0" borderId="2" pivotButton="0" quotePrefix="0" xfId="0"/>
    <xf numFmtId="0" fontId="6" fillId="0" borderId="2" applyAlignment="1" pivotButton="0" quotePrefix="0" xfId="0">
      <alignment vertical="center"/>
    </xf>
    <xf numFmtId="165" fontId="6" fillId="0" borderId="2" applyAlignment="1" pivotButton="0" quotePrefix="0" xfId="0">
      <alignment horizontal="right"/>
    </xf>
    <xf numFmtId="167" fontId="6" fillId="0" borderId="2" applyAlignment="1" pivotButton="0" quotePrefix="0" xfId="0">
      <alignment horizontal="right"/>
    </xf>
    <xf numFmtId="0" fontId="6" fillId="0" borderId="2" applyAlignment="1" pivotButton="0" quotePrefix="0" xfId="0">
      <alignment horizontal="center"/>
    </xf>
    <xf numFmtId="0" fontId="11" fillId="0" borderId="0" pivotButton="0" quotePrefix="0" xfId="0"/>
    <xf numFmtId="165" fontId="12" fillId="0" borderId="2" applyAlignment="1" pivotButton="0" quotePrefix="0" xfId="0">
      <alignment horizontal="right"/>
    </xf>
    <xf numFmtId="167" fontId="12" fillId="0" borderId="0" applyAlignment="1" pivotButton="0" quotePrefix="0" xfId="0">
      <alignment horizontal="right"/>
    </xf>
    <xf numFmtId="0" fontId="11" fillId="2" borderId="0" pivotButton="0" quotePrefix="0" xfId="0"/>
    <xf numFmtId="0" fontId="6" fillId="2" borderId="2" pivotButton="0" quotePrefix="0" xfId="0"/>
    <xf numFmtId="0" fontId="11" fillId="4" borderId="2" applyAlignment="1" pivotButton="0" quotePrefix="0" xfId="0">
      <alignment horizontal="center" vertical="center"/>
    </xf>
    <xf numFmtId="0" fontId="0" fillId="4" borderId="2" pivotButton="0" quotePrefix="0" xfId="0"/>
    <xf numFmtId="165" fontId="13" fillId="4" borderId="2" applyAlignment="1" pivotButton="0" quotePrefix="0" xfId="0">
      <alignment horizontal="right"/>
    </xf>
    <xf numFmtId="167" fontId="13" fillId="4" borderId="2" applyAlignment="1" pivotButton="0" quotePrefix="0" xfId="0">
      <alignment horizontal="right"/>
    </xf>
    <xf numFmtId="167" fontId="6" fillId="2" borderId="2" pivotButton="0" quotePrefix="0" xfId="0"/>
    <xf numFmtId="0" fontId="8" fillId="3" borderId="2" pivotButton="0" quotePrefix="0" xfId="0"/>
    <xf numFmtId="165" fontId="6" fillId="2" borderId="2" applyAlignment="1" pivotButton="0" quotePrefix="0" xfId="0">
      <alignment horizontal="right"/>
    </xf>
    <xf numFmtId="0" fontId="9" fillId="0" borderId="2" applyAlignment="1" pivotButton="0" quotePrefix="0" xfId="0">
      <alignment horizontal="center"/>
    </xf>
    <xf numFmtId="165" fontId="12" fillId="0" borderId="0" applyAlignment="1" pivotButton="0" quotePrefix="0" xfId="0">
      <alignment horizontal="right"/>
    </xf>
    <xf numFmtId="165" fontId="6" fillId="2" borderId="0" applyAlignment="1" pivotButton="0" quotePrefix="0" xfId="0">
      <alignment horizontal="right"/>
    </xf>
    <xf numFmtId="167" fontId="6" fillId="2" borderId="0" applyAlignment="1" pivotButton="0" quotePrefix="0" xfId="0">
      <alignment horizontal="right"/>
    </xf>
    <xf numFmtId="165" fontId="0" fillId="2" borderId="0" applyAlignment="1" pivotButton="0" quotePrefix="0" xfId="0">
      <alignment horizontal="right"/>
    </xf>
    <xf numFmtId="0" fontId="10" fillId="2" borderId="0" pivotButton="0" quotePrefix="0" xfId="0"/>
    <xf numFmtId="0" fontId="6" fillId="2" borderId="2" applyAlignment="1" pivotButton="0" quotePrefix="0" xfId="0">
      <alignment vertical="top" wrapText="1"/>
    </xf>
  </cellXfs>
  <cellStyles count="1">
    <cellStyle name="Normal" xfId="0" builtinId="0" hidden="0"/>
  </cellStyles>
  <dxfs count="2">
    <dxf>
      <font>
        <b val="1"/>
        <color rgb="00008000"/>
      </font>
      <fill>
        <patternFill patternType="solid">
          <fgColor rgb="00E2F0D9"/>
          <bgColor rgb="00E2F0D9"/>
        </patternFill>
      </fill>
    </dxf>
    <dxf>
      <font>
        <b val="1"/>
        <color rgb="00C00000"/>
      </font>
      <fill>
        <patternFill patternType="solid">
          <fgColor rgb="00FCE4D6"/>
          <b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Individual Stock Performance — Gain/Loss %</a:t>
            </a:r>
          </a:p>
        </rich>
      </tx>
    </title>
    <plotArea>
      <barChart>
        <barDir val="bar"/>
        <grouping val="clustered"/>
        <varyColors val="0"/>
        <ser>
          <idx val="0"/>
          <order val="0"/>
          <tx>
            <strRef>
              <f>'Portfolio_Calc'!J1</f>
            </strRef>
          </tx>
          <spPr>
            <a:ln xmlns:a="http://schemas.openxmlformats.org/drawingml/2006/main">
              <a:prstDash val="solid"/>
            </a:ln>
          </spPr>
          <cat>
            <numRef>
              <f>'Portfolio_Calc'!$A$2:$A$9</f>
            </numRef>
          </cat>
          <val>
            <numRef>
              <f>'Portfolio_Calc'!$J$2:$J$9</f>
            </numRef>
          </val>
        </ser>
        <dLbls>
          <showLegendKey val="0"/>
          <showVal val="1"/>
          <showCatName val="0"/>
          <showSer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Gain / Loss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Stock</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Portfolio Allocation by Sector</a:t>
            </a:r>
          </a:p>
        </rich>
      </tx>
    </title>
    <plotArea>
      <pieChart>
        <varyColors val="1"/>
        <ser>
          <idx val="0"/>
          <order val="0"/>
          <tx>
            <strRef>
              <f>'Dashboard'!K30</f>
            </strRef>
          </tx>
          <spPr>
            <a:ln xmlns:a="http://schemas.openxmlformats.org/drawingml/2006/main">
              <a:prstDash val="solid"/>
            </a:ln>
          </spPr>
          <cat>
            <numRef>
              <f>'Dashboard'!$J$31:$J$36</f>
            </numRef>
          </cat>
          <val>
            <numRef>
              <f>'Dashboard'!$K$31:$K$36</f>
            </numRef>
          </val>
        </ser>
        <dLbls>
          <showCatName val="1"/>
          <showPercent val="1"/>
          <showLeaderLines val="1"/>
        </dLbls>
        <firstSliceAng val="0"/>
      </pieChart>
    </plotArea>
    <legend>
      <legendPos val="r"/>
    </legend>
    <plotVisOnly val="1"/>
    <dispBlanksAs val="gap"/>
  </chart>
</chartSpace>
</file>

<file path=xl/comments/comment1.xml><?xml version="1.0" encoding="utf-8"?>
<comments xmlns="http://schemas.openxmlformats.org/spreadsheetml/2006/main">
  <authors>
    <author>OpenAI</author>
  </authors>
  <commentList>
    <comment ref="E2" authorId="0" shapeId="0">
      <text>
        <t>Buy price sourced from https://www.equitypandit.com/historical-data/infy (historical data page; April 2024 row).</t>
      </text>
    </comment>
    <comment ref="E3" authorId="0" shapeId="0">
      <text>
        <t>Buy price sourced from https://www.equitypandit.com/historical-data/hdfcbank (historical data page; April 2024 row).</t>
      </text>
    </comment>
    <comment ref="E4" authorId="0" shapeId="0">
      <text>
        <t>Buy price sourced from https://www.equitypandit.com/historical-data/reliance (historical data page; April 2024 row).</t>
      </text>
    </comment>
    <comment ref="E5" authorId="0" shapeId="0">
      <text>
        <t>Buy price sourced from https://www.equitypandit.com/historical-data/tcs (historical data page; April 2024 row).</t>
      </text>
    </comment>
    <comment ref="E6" authorId="0" shapeId="0">
      <text>
        <t>Buy price sourced from https://www.equitypandit.com/historical-data/asianpaint (historical data page; April 2024 row).</t>
      </text>
    </comment>
    <comment ref="E7" authorId="0" shapeId="0">
      <text>
        <t>Buy price sourced from https://www.equitypandit.com/historical-data/maruti (historical data page; April 2024 row).</t>
      </text>
    </comment>
    <comment ref="E8" authorId="0" shapeId="0">
      <text>
        <t>Buy price sourced from https://www.equitypandit.com/historical-data/sunpharma (historical data page; April 2024 row).</t>
      </text>
    </comment>
    <comment ref="E9" authorId="0" shapeId="0">
      <text>
        <t>Buy price sourced from https://www.equitypandit.com/historical-data/itc (historical data page; April 2024 row).</t>
      </text>
    </comment>
  </commentList>
</comments>
</file>

<file path=xl/comments/comment2.xml><?xml version="1.0" encoding="utf-8"?>
<comments xmlns="http://schemas.openxmlformats.org/spreadsheetml/2006/main">
  <authors>
    <author>OpenAI</author>
  </authors>
  <commentList>
    <comment ref="B2" authorId="0" shapeId="0">
      <text>
        <t>Current price sourced from https://www.equitypandit.com/historical-data/infy (historical data page; April 2025 row).</t>
      </text>
    </comment>
    <comment ref="B3" authorId="0" shapeId="0">
      <text>
        <t>Current price sourced from https://www.equitypandit.com/historical-data/hdfcbank (historical data page; April 2025 row).</t>
      </text>
    </comment>
    <comment ref="B4" authorId="0" shapeId="0">
      <text>
        <t>Current price sourced from https://www.equitypandit.com/historical-data/reliance (historical data page; April 2025 row).</t>
      </text>
    </comment>
    <comment ref="B5" authorId="0" shapeId="0">
      <text>
        <t>Current price sourced from https://www.equitypandit.com/historical-data/tcs (historical data page; April 2025 row).</t>
      </text>
    </comment>
    <comment ref="B6" authorId="0" shapeId="0">
      <text>
        <t>Current price sourced from https://www.equitypandit.com/historical-data/asianpaint (historical data page; April 2025 row).</t>
      </text>
    </comment>
    <comment ref="B7" authorId="0" shapeId="0">
      <text>
        <t>Current price sourced from https://www.equitypandit.com/historical-data/maruti (historical data page; April 2025 row).</t>
      </text>
    </comment>
    <comment ref="B8" authorId="0" shapeId="0">
      <text>
        <t>Current price sourced from https://www.equitypandit.com/historical-data/sunpharma (historical data page; April 2025 row).</t>
      </text>
    </comment>
    <comment ref="B9" authorId="0" shapeId="0">
      <text>
        <t>Current price sourced from https://www.equitypandit.com/historical-data/itc (historical data page; April 2025 row).</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12</row>
      <rowOff>0</rowOff>
    </from>
    <ext cx="4752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12</row>
      <rowOff>0</rowOff>
    </from>
    <ext cx="3420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70" customWidth="1" min="1" max="1"/>
    <col width="6" customWidth="1" min="2" max="2"/>
    <col width="6" customWidth="1" min="3" max="3"/>
    <col width="6" customWidth="1" min="4" max="4"/>
    <col width="6" customWidth="1" min="5" max="5"/>
    <col width="6" customWidth="1" min="6" max="6"/>
    <col width="6" customWidth="1" min="7" max="7"/>
    <col width="6" customWidth="1" min="8" max="8"/>
  </cols>
  <sheetData>
    <row r="1">
      <c r="A1" s="1" t="n"/>
      <c r="B1" s="1" t="n"/>
      <c r="C1" s="1" t="n"/>
      <c r="D1" s="1" t="n"/>
      <c r="E1" s="1" t="n"/>
      <c r="F1" s="1" t="n"/>
      <c r="G1" s="1" t="n"/>
      <c r="H1" s="1" t="n"/>
    </row>
    <row r="2" ht="28" customHeight="1">
      <c r="A2" s="2" t="inlineStr">
        <is>
          <t>PERSONAL INVESTMENT PORTFOLIO TRACKER</t>
        </is>
      </c>
    </row>
    <row r="3">
      <c r="A3" s="3" t="inlineStr">
        <is>
          <t>Demo Portfolio — For Project Demonstration Purposes</t>
        </is>
      </c>
    </row>
    <row r="4">
      <c r="A4" s="4" t="inlineStr">
        <is>
          <t>April 2024 – March 2025 (FY2025)</t>
        </is>
      </c>
    </row>
    <row r="5">
      <c r="A5" s="1" t="n"/>
      <c r="B5" s="1" t="n"/>
      <c r="C5" s="1" t="n"/>
      <c r="D5" s="1" t="n"/>
      <c r="E5" s="1" t="n"/>
      <c r="F5" s="1" t="n"/>
      <c r="G5" s="1" t="n"/>
      <c r="H5" s="1" t="n"/>
    </row>
    <row r="6">
      <c r="A6" s="5" t="inlineStr">
        <is>
          <t>Prepared by: Tharineesh M</t>
        </is>
      </c>
      <c r="B6" s="1" t="n"/>
      <c r="C6" s="1" t="n"/>
      <c r="D6" s="1" t="n"/>
      <c r="E6" s="1" t="n"/>
      <c r="F6" s="1" t="n"/>
      <c r="G6" s="1" t="n"/>
      <c r="H6" s="1" t="n"/>
    </row>
    <row r="7">
      <c r="A7" s="6" t="inlineStr">
        <is>
          <t>B.Com (Final Year) | SAP S/4HANA Certified Associate</t>
        </is>
      </c>
      <c r="B7" s="1" t="n"/>
      <c r="C7" s="1" t="n"/>
      <c r="D7" s="1" t="n"/>
      <c r="E7" s="1" t="n"/>
      <c r="F7" s="1" t="n"/>
      <c r="G7" s="1" t="n"/>
      <c r="H7" s="1" t="n"/>
    </row>
    <row r="8">
      <c r="A8" s="1" t="n"/>
      <c r="B8" s="1" t="n"/>
      <c r="C8" s="1" t="n"/>
      <c r="D8" s="1" t="n"/>
      <c r="E8" s="1" t="n"/>
      <c r="F8" s="1" t="n"/>
      <c r="G8" s="1" t="n"/>
      <c r="H8" s="1" t="n"/>
    </row>
    <row r="9">
      <c r="A9" s="7" t="inlineStr">
        <is>
          <t>Note: This is a demo portfolio created for project demonstration.</t>
        </is>
      </c>
      <c r="B9" s="1" t="n"/>
      <c r="C9" s="1" t="n"/>
      <c r="D9" s="1" t="n"/>
      <c r="E9" s="1" t="n"/>
      <c r="F9" s="1" t="n"/>
      <c r="G9" s="1" t="n"/>
      <c r="H9" s="1" t="n"/>
    </row>
    <row r="10">
      <c r="A10" s="7" t="inlineStr">
        <is>
          <t>All prices are sourced from NSE India historical data / market history pages.</t>
        </is>
      </c>
      <c r="B10" s="1" t="n"/>
      <c r="C10" s="1" t="n"/>
      <c r="D10" s="1" t="n"/>
      <c r="E10" s="1" t="n"/>
      <c r="F10" s="1" t="n"/>
      <c r="G10" s="1" t="n"/>
      <c r="H10" s="1" t="n"/>
    </row>
    <row r="11">
      <c r="A11" s="1" t="n"/>
      <c r="B11" s="1" t="n"/>
      <c r="C11" s="1" t="n"/>
      <c r="D11" s="1" t="n"/>
      <c r="E11" s="1" t="n"/>
      <c r="F11" s="1" t="n"/>
      <c r="G11" s="1" t="n"/>
      <c r="H11" s="1" t="n"/>
    </row>
    <row r="12">
      <c r="A12" s="8" t="inlineStr">
        <is>
          <t>Contents:</t>
        </is>
      </c>
      <c r="B12" s="1" t="n"/>
      <c r="C12" s="1" t="n"/>
      <c r="D12" s="1" t="n"/>
      <c r="E12" s="1" t="n"/>
      <c r="F12" s="1" t="n"/>
      <c r="G12" s="1" t="n"/>
      <c r="H12" s="1" t="n"/>
    </row>
    <row r="13">
      <c r="A13" s="7" t="inlineStr">
        <is>
          <t>1. Portfolio_Input       — Raw input data and purchase details</t>
        </is>
      </c>
      <c r="B13" s="1" t="n"/>
      <c r="C13" s="1" t="n"/>
      <c r="D13" s="1" t="n"/>
      <c r="E13" s="1" t="n"/>
      <c r="F13" s="1" t="n"/>
      <c r="G13" s="1" t="n"/>
      <c r="H13" s="1" t="n"/>
    </row>
    <row r="14">
      <c r="A14" s="7" t="inlineStr">
        <is>
          <t>2. Price_Reference       — Current price lookup table</t>
        </is>
      </c>
      <c r="B14" s="1" t="n"/>
      <c r="C14" s="1" t="n"/>
      <c r="D14" s="1" t="n"/>
      <c r="E14" s="1" t="n"/>
      <c r="F14" s="1" t="n"/>
      <c r="G14" s="1" t="n"/>
      <c r="H14" s="1" t="n"/>
    </row>
    <row r="15">
      <c r="A15" s="7" t="inlineStr">
        <is>
          <t>3. Portfolio_Calc        — Formula-driven calculations</t>
        </is>
      </c>
      <c r="B15" s="1" t="n"/>
      <c r="C15" s="1" t="n"/>
      <c r="D15" s="1" t="n"/>
      <c r="E15" s="1" t="n"/>
      <c r="F15" s="1" t="n"/>
      <c r="G15" s="1" t="n"/>
      <c r="H15" s="1" t="n"/>
    </row>
    <row r="16">
      <c r="A16" s="7" t="inlineStr">
        <is>
          <t>4. Dashboard             — Visual summary and KPI cards</t>
        </is>
      </c>
      <c r="B16" s="1" t="n"/>
      <c r="C16" s="1" t="n"/>
      <c r="D16" s="1" t="n"/>
      <c r="E16" s="1" t="n"/>
      <c r="F16" s="1" t="n"/>
      <c r="G16" s="1" t="n"/>
      <c r="H16" s="1" t="n"/>
    </row>
    <row r="17">
      <c r="A17" s="7" t="inlineStr">
        <is>
          <t>5. Transactions          — Buy transactions log</t>
        </is>
      </c>
      <c r="B17" s="1" t="n"/>
      <c r="C17" s="1" t="n"/>
      <c r="D17" s="1" t="n"/>
      <c r="E17" s="1" t="n"/>
      <c r="F17" s="1" t="n"/>
      <c r="G17" s="1" t="n"/>
      <c r="H17" s="1" t="n"/>
    </row>
    <row r="18">
      <c r="A18" s="7" t="inlineStr">
        <is>
          <t>6. Summary               — One-glance portfolio overview</t>
        </is>
      </c>
      <c r="B18" s="1" t="n"/>
      <c r="C18" s="1" t="n"/>
      <c r="D18" s="1" t="n"/>
      <c r="E18" s="1" t="n"/>
      <c r="F18" s="1" t="n"/>
      <c r="G18" s="1" t="n"/>
      <c r="H18" s="1" t="n"/>
    </row>
    <row r="19">
      <c r="A19" s="7" t="inlineStr">
        <is>
          <t>7. Methodology           — Assumptions, update steps, and sources</t>
        </is>
      </c>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sheetData>
  <mergeCells count="3">
    <mergeCell ref="A4:H4"/>
    <mergeCell ref="A3:H3"/>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24" customWidth="1" min="1" max="1"/>
    <col width="12" customWidth="1" min="2" max="2"/>
    <col width="18" customWidth="1" min="3" max="3"/>
    <col width="10" customWidth="1" min="4" max="4"/>
    <col width="14" customWidth="1" min="5" max="5"/>
    <col width="14" customWidth="1" min="6" max="6"/>
    <col width="10" customWidth="1" min="7" max="7"/>
    <col width="24" customWidth="1" min="8" max="8"/>
  </cols>
  <sheetData>
    <row r="1">
      <c r="A1" s="9" t="inlineStr">
        <is>
          <t>Stock Name</t>
        </is>
      </c>
      <c r="B1" s="9" t="inlineStr">
        <is>
          <t>Ticker</t>
        </is>
      </c>
      <c r="C1" s="9" t="inlineStr">
        <is>
          <t>Sector</t>
        </is>
      </c>
      <c r="D1" s="9" t="inlineStr">
        <is>
          <t>Quantity</t>
        </is>
      </c>
      <c r="E1" s="9" t="inlineStr">
        <is>
          <t>Buy Price (₹)</t>
        </is>
      </c>
      <c r="F1" s="9" t="inlineStr">
        <is>
          <t>Buy Date</t>
        </is>
      </c>
      <c r="G1" s="9" t="inlineStr">
        <is>
          <t>Exchange</t>
        </is>
      </c>
      <c r="H1" s="9" t="inlineStr">
        <is>
          <t>Notes</t>
        </is>
      </c>
    </row>
    <row r="2">
      <c r="A2" s="10" t="inlineStr">
        <is>
          <t>Infosys Ltd</t>
        </is>
      </c>
      <c r="B2" s="10" t="inlineStr">
        <is>
          <t>INFY</t>
        </is>
      </c>
      <c r="C2" s="10" t="inlineStr">
        <is>
          <t>IT Services</t>
        </is>
      </c>
      <c r="D2" s="10" t="n">
        <v>10</v>
      </c>
      <c r="E2" s="11" t="n">
        <v>1495.45</v>
      </c>
      <c r="F2" s="12" t="n">
        <v>45383</v>
      </c>
      <c r="G2" s="10" t="inlineStr">
        <is>
          <t>NSE</t>
        </is>
      </c>
      <c r="H2" s="13" t="inlineStr">
        <is>
          <t>Initial demo purchase</t>
        </is>
      </c>
    </row>
    <row r="3">
      <c r="A3" s="10" t="inlineStr">
        <is>
          <t>HDFC Bank</t>
        </is>
      </c>
      <c r="B3" s="10" t="inlineStr">
        <is>
          <t>HDFCBANK</t>
        </is>
      </c>
      <c r="C3" s="10" t="inlineStr">
        <is>
          <t>Banking</t>
        </is>
      </c>
      <c r="D3" s="10" t="n">
        <v>8</v>
      </c>
      <c r="E3" s="11" t="n">
        <v>735.25</v>
      </c>
      <c r="F3" s="12" t="n">
        <v>45383</v>
      </c>
      <c r="G3" s="10" t="inlineStr">
        <is>
          <t>NSE</t>
        </is>
      </c>
      <c r="H3" s="13" t="inlineStr">
        <is>
          <t>Initial demo purchase</t>
        </is>
      </c>
    </row>
    <row r="4">
      <c r="A4" s="10" t="inlineStr">
        <is>
          <t>Reliance Industries</t>
        </is>
      </c>
      <c r="B4" s="10" t="inlineStr">
        <is>
          <t>RELIANCE</t>
        </is>
      </c>
      <c r="C4" s="10" t="inlineStr">
        <is>
          <t>Conglomerate</t>
        </is>
      </c>
      <c r="D4" s="10" t="n">
        <v>5</v>
      </c>
      <c r="E4" s="11" t="n">
        <v>1484.78</v>
      </c>
      <c r="F4" s="12" t="n">
        <v>45383</v>
      </c>
      <c r="G4" s="10" t="inlineStr">
        <is>
          <t>NSE</t>
        </is>
      </c>
      <c r="H4" s="13" t="inlineStr">
        <is>
          <t>Initial demo purchase</t>
        </is>
      </c>
    </row>
    <row r="5">
      <c r="A5" s="10" t="inlineStr">
        <is>
          <t>TCS Ltd</t>
        </is>
      </c>
      <c r="B5" s="10" t="inlineStr">
        <is>
          <t>TCS</t>
        </is>
      </c>
      <c r="C5" s="10" t="inlineStr">
        <is>
          <t>IT Services</t>
        </is>
      </c>
      <c r="D5" s="10" t="n">
        <v>6</v>
      </c>
      <c r="E5" s="11" t="n">
        <v>3916.75</v>
      </c>
      <c r="F5" s="12" t="n">
        <v>45383</v>
      </c>
      <c r="G5" s="10" t="inlineStr">
        <is>
          <t>NSE</t>
        </is>
      </c>
      <c r="H5" s="13" t="inlineStr">
        <is>
          <t>Initial demo purchase</t>
        </is>
      </c>
    </row>
    <row r="6">
      <c r="A6" s="10" t="inlineStr">
        <is>
          <t>Asian Paints</t>
        </is>
      </c>
      <c r="B6" s="10" t="inlineStr">
        <is>
          <t>ASIANPAINT</t>
        </is>
      </c>
      <c r="C6" s="10" t="inlineStr">
        <is>
          <t>Consumer</t>
        </is>
      </c>
      <c r="D6" s="10" t="n">
        <v>9</v>
      </c>
      <c r="E6" s="11" t="n">
        <v>2871</v>
      </c>
      <c r="F6" s="12" t="n">
        <v>45383</v>
      </c>
      <c r="G6" s="10" t="inlineStr">
        <is>
          <t>NSE</t>
        </is>
      </c>
      <c r="H6" s="13" t="inlineStr">
        <is>
          <t>Initial demo purchase</t>
        </is>
      </c>
    </row>
    <row r="7">
      <c r="A7" s="10" t="inlineStr">
        <is>
          <t>Maruti Suzuki</t>
        </is>
      </c>
      <c r="B7" s="10" t="inlineStr">
        <is>
          <t>MARUTI</t>
        </is>
      </c>
      <c r="C7" s="10" t="inlineStr">
        <is>
          <t>Auto</t>
        </is>
      </c>
      <c r="D7" s="10" t="n">
        <v>2</v>
      </c>
      <c r="E7" s="11" t="n">
        <v>12569.6</v>
      </c>
      <c r="F7" s="12" t="n">
        <v>45383</v>
      </c>
      <c r="G7" s="10" t="inlineStr">
        <is>
          <t>NSE</t>
        </is>
      </c>
      <c r="H7" s="13" t="inlineStr">
        <is>
          <t>Initial demo purchase</t>
        </is>
      </c>
    </row>
    <row r="8">
      <c r="A8" s="10" t="inlineStr">
        <is>
          <t>Sun Pharma</t>
        </is>
      </c>
      <c r="B8" s="10" t="inlineStr">
        <is>
          <t>SUNPHARMA</t>
        </is>
      </c>
      <c r="C8" s="10" t="inlineStr">
        <is>
          <t>Healthcare</t>
        </is>
      </c>
      <c r="D8" s="10" t="n">
        <v>15</v>
      </c>
      <c r="E8" s="11" t="n">
        <v>1629.25</v>
      </c>
      <c r="F8" s="12" t="n">
        <v>45383</v>
      </c>
      <c r="G8" s="10" t="inlineStr">
        <is>
          <t>NSE</t>
        </is>
      </c>
      <c r="H8" s="13" t="inlineStr">
        <is>
          <t>Initial demo purchase</t>
        </is>
      </c>
    </row>
    <row r="9">
      <c r="A9" s="10" t="inlineStr">
        <is>
          <t>ITC Ltd</t>
        </is>
      </c>
      <c r="B9" s="10" t="inlineStr">
        <is>
          <t>ITC</t>
        </is>
      </c>
      <c r="C9" s="10" t="inlineStr">
        <is>
          <t>FMCG</t>
        </is>
      </c>
      <c r="D9" s="10" t="n">
        <v>50</v>
      </c>
      <c r="E9" s="11" t="n">
        <v>403.66</v>
      </c>
      <c r="F9" s="12" t="n">
        <v>45383</v>
      </c>
      <c r="G9" s="10" t="inlineStr">
        <is>
          <t>NSE</t>
        </is>
      </c>
      <c r="H9" s="13" t="inlineStr">
        <is>
          <t>Initial demo purchase</t>
        </is>
      </c>
    </row>
    <row r="10"/>
    <row r="11">
      <c r="A11" s="14" t="inlineStr">
        <is>
          <t>Row 11: Data Source: NSE India Historical Data / market history pages</t>
        </is>
      </c>
    </row>
    <row r="12">
      <c r="A12" s="14" t="inlineStr">
        <is>
          <t>Row 12: Buy prices represent closing prices on April 1, 2024</t>
        </is>
      </c>
    </row>
    <row r="13">
      <c r="A13" s="14" t="inlineStr">
        <is>
          <t>Row 13: This is a DEMO portfolio for project demonstration purposes</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s>
  <sheetData>
    <row r="1">
      <c r="A1" s="9" t="inlineStr">
        <is>
          <t>Ticker</t>
        </is>
      </c>
      <c r="B1" s="9" t="inlineStr">
        <is>
          <t>Current Price (₹)</t>
        </is>
      </c>
      <c r="C1" s="9" t="inlineStr">
        <is>
          <t>As of Date</t>
        </is>
      </c>
    </row>
    <row r="2">
      <c r="A2" s="15" t="inlineStr">
        <is>
          <t>INFY</t>
        </is>
      </c>
      <c r="B2" s="11" t="n">
        <v>1526.5</v>
      </c>
      <c r="C2" s="16" t="n">
        <v>45748</v>
      </c>
    </row>
    <row r="3">
      <c r="A3" s="15" t="inlineStr">
        <is>
          <t>HDFCBANK</t>
        </is>
      </c>
      <c r="B3" s="11" t="n">
        <v>883.9299999999999</v>
      </c>
      <c r="C3" s="16" t="n">
        <v>45748</v>
      </c>
    </row>
    <row r="4">
      <c r="A4" s="15" t="inlineStr">
        <is>
          <t>RELIANCE</t>
        </is>
      </c>
      <c r="B4" s="11" t="n">
        <v>1252.6</v>
      </c>
      <c r="C4" s="16" t="n">
        <v>45748</v>
      </c>
    </row>
    <row r="5">
      <c r="A5" s="15" t="inlineStr">
        <is>
          <t>TCS</t>
        </is>
      </c>
      <c r="B5" s="11" t="n">
        <v>3550.8</v>
      </c>
      <c r="C5" s="16" t="n">
        <v>45748</v>
      </c>
    </row>
    <row r="6">
      <c r="A6" s="15" t="inlineStr">
        <is>
          <t>ASIANPAINT</t>
        </is>
      </c>
      <c r="B6" s="11" t="n">
        <v>2316</v>
      </c>
      <c r="C6" s="16" t="n">
        <v>45748</v>
      </c>
    </row>
    <row r="7">
      <c r="A7" s="15" t="inlineStr">
        <is>
          <t>MARUTI</t>
        </is>
      </c>
      <c r="B7" s="11" t="n">
        <v>11481.1</v>
      </c>
      <c r="C7" s="16" t="n">
        <v>45748</v>
      </c>
    </row>
    <row r="8">
      <c r="A8" s="15" t="inlineStr">
        <is>
          <t>SUNPHARMA</t>
        </is>
      </c>
      <c r="B8" s="11" t="n">
        <v>1698.35</v>
      </c>
      <c r="C8" s="16" t="n">
        <v>45748</v>
      </c>
    </row>
    <row r="9">
      <c r="A9" s="15" t="inlineStr">
        <is>
          <t>ITC</t>
        </is>
      </c>
      <c r="B9" s="11" t="n">
        <v>406.65</v>
      </c>
      <c r="C9" s="16" t="n">
        <v>45748</v>
      </c>
    </row>
    <row r="10"/>
    <row r="11"/>
    <row r="12">
      <c r="A12" s="14" t="inlineStr">
        <is>
          <t>Source: EquityPandit historical data pages (April 2025 row used for FY2025 end-period reference)</t>
        </is>
      </c>
    </row>
    <row r="13">
      <c r="A13" s="14" t="inlineStr">
        <is>
          <t>Note: Replace Column B values with updated market prices to refresh the tracker.</t>
        </is>
      </c>
    </row>
    <row r="14">
      <c r="A14" s="14" t="inlineStr">
        <is>
          <t>All calculations in Portfolio_Calc update automatically.</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0"/>
  <sheetViews>
    <sheetView showGridLines="0" workbookViewId="0">
      <pane ySplit="1" topLeftCell="A2" activePane="bottomLeft" state="frozen"/>
      <selection pane="bottomLeft" activeCell="A1" sqref="A1"/>
    </sheetView>
  </sheetViews>
  <sheetFormatPr baseColWidth="8" defaultRowHeight="15"/>
  <cols>
    <col width="24" customWidth="1" min="1" max="1"/>
    <col width="12" customWidth="1" min="2" max="2"/>
    <col width="18" customWidth="1" min="3" max="3"/>
    <col width="10" customWidth="1" min="4" max="4"/>
    <col width="14" customWidth="1" min="5" max="5"/>
    <col width="14" customWidth="1" min="6" max="6"/>
    <col width="16" customWidth="1" min="7" max="7"/>
    <col width="16" customWidth="1" min="8" max="8"/>
    <col width="18" customWidth="1" min="9" max="9"/>
    <col width="12" customWidth="1" min="10" max="10"/>
    <col width="14" customWidth="1" min="11" max="11"/>
    <col width="10" customWidth="1" min="12" max="12"/>
  </cols>
  <sheetData>
    <row r="1">
      <c r="A1" s="9" t="inlineStr">
        <is>
          <t>Stock Name</t>
        </is>
      </c>
      <c r="B1" s="9" t="inlineStr">
        <is>
          <t>Ticker</t>
        </is>
      </c>
      <c r="C1" s="9" t="inlineStr">
        <is>
          <t>Sector</t>
        </is>
      </c>
      <c r="D1" s="9" t="inlineStr">
        <is>
          <t>Quantity</t>
        </is>
      </c>
      <c r="E1" s="9" t="inlineStr">
        <is>
          <t>Buy Price (₹)</t>
        </is>
      </c>
      <c r="F1" s="9" t="inlineStr">
        <is>
          <t>Current Price (₹)</t>
        </is>
      </c>
      <c r="G1" s="9" t="inlineStr">
        <is>
          <t>Investment Value (₹)</t>
        </is>
      </c>
      <c r="H1" s="9" t="inlineStr">
        <is>
          <t>Current Value (₹)</t>
        </is>
      </c>
      <c r="I1" s="9" t="inlineStr">
        <is>
          <t>Absolute Gain/Loss (₹)</t>
        </is>
      </c>
      <c r="J1" s="9" t="inlineStr">
        <is>
          <t>Gain/Loss %</t>
        </is>
      </c>
      <c r="K1" s="9" t="inlineStr">
        <is>
          <t>Portfolio Weight %</t>
        </is>
      </c>
      <c r="L1" s="9" t="inlineStr">
        <is>
          <t>Status</t>
        </is>
      </c>
    </row>
    <row r="2">
      <c r="A2" s="17">
        <f>Portfolio_Input!A2</f>
        <v/>
      </c>
      <c r="B2" s="17">
        <f>Portfolio_Input!B2</f>
        <v/>
      </c>
      <c r="C2" s="17">
        <f>Portfolio_Input!C2</f>
        <v/>
      </c>
      <c r="D2" s="17">
        <f>Portfolio_Input!D2</f>
        <v/>
      </c>
      <c r="E2" s="18">
        <f>Portfolio_Input!E2</f>
        <v/>
      </c>
      <c r="F2" s="18">
        <f>VLOOKUP(B2,Price_Reference!$A:$B,2,0)</f>
        <v/>
      </c>
      <c r="G2" s="18">
        <f>D2*E2</f>
        <v/>
      </c>
      <c r="H2" s="18">
        <f>D2*F2</f>
        <v/>
      </c>
      <c r="I2" s="18">
        <f>H2-G2</f>
        <v/>
      </c>
      <c r="J2" s="19">
        <f>(H2-G2)/G2</f>
        <v/>
      </c>
      <c r="K2" s="19">
        <f>G2/SUM($G$2:$G$9)</f>
        <v/>
      </c>
      <c r="L2" s="20">
        <f>IF(I2&gt;0,"PROFIT","LOSS")</f>
        <v/>
      </c>
    </row>
    <row r="3">
      <c r="A3" s="17">
        <f>Portfolio_Input!A3</f>
        <v/>
      </c>
      <c r="B3" s="17">
        <f>Portfolio_Input!B3</f>
        <v/>
      </c>
      <c r="C3" s="17">
        <f>Portfolio_Input!C3</f>
        <v/>
      </c>
      <c r="D3" s="17">
        <f>Portfolio_Input!D3</f>
        <v/>
      </c>
      <c r="E3" s="18">
        <f>Portfolio_Input!E3</f>
        <v/>
      </c>
      <c r="F3" s="18">
        <f>VLOOKUP(B3,Price_Reference!$A:$B,2,0)</f>
        <v/>
      </c>
      <c r="G3" s="18">
        <f>D3*E3</f>
        <v/>
      </c>
      <c r="H3" s="18">
        <f>D3*F3</f>
        <v/>
      </c>
      <c r="I3" s="18">
        <f>H3-G3</f>
        <v/>
      </c>
      <c r="J3" s="19">
        <f>(H3-G3)/G3</f>
        <v/>
      </c>
      <c r="K3" s="19">
        <f>G3/SUM($G$2:$G$9)</f>
        <v/>
      </c>
      <c r="L3" s="20">
        <f>IF(I3&gt;0,"PROFIT","LOSS")</f>
        <v/>
      </c>
    </row>
    <row r="4">
      <c r="A4" s="17">
        <f>Portfolio_Input!A4</f>
        <v/>
      </c>
      <c r="B4" s="17">
        <f>Portfolio_Input!B4</f>
        <v/>
      </c>
      <c r="C4" s="17">
        <f>Portfolio_Input!C4</f>
        <v/>
      </c>
      <c r="D4" s="17">
        <f>Portfolio_Input!D4</f>
        <v/>
      </c>
      <c r="E4" s="18">
        <f>Portfolio_Input!E4</f>
        <v/>
      </c>
      <c r="F4" s="18">
        <f>VLOOKUP(B4,Price_Reference!$A:$B,2,0)</f>
        <v/>
      </c>
      <c r="G4" s="18">
        <f>D4*E4</f>
        <v/>
      </c>
      <c r="H4" s="18">
        <f>D4*F4</f>
        <v/>
      </c>
      <c r="I4" s="18">
        <f>H4-G4</f>
        <v/>
      </c>
      <c r="J4" s="19">
        <f>(H4-G4)/G4</f>
        <v/>
      </c>
      <c r="K4" s="19">
        <f>G4/SUM($G$2:$G$9)</f>
        <v/>
      </c>
      <c r="L4" s="20">
        <f>IF(I4&gt;0,"PROFIT","LOSS")</f>
        <v/>
      </c>
    </row>
    <row r="5">
      <c r="A5" s="17">
        <f>Portfolio_Input!A5</f>
        <v/>
      </c>
      <c r="B5" s="17">
        <f>Portfolio_Input!B5</f>
        <v/>
      </c>
      <c r="C5" s="17">
        <f>Portfolio_Input!C5</f>
        <v/>
      </c>
      <c r="D5" s="17">
        <f>Portfolio_Input!D5</f>
        <v/>
      </c>
      <c r="E5" s="18">
        <f>Portfolio_Input!E5</f>
        <v/>
      </c>
      <c r="F5" s="18">
        <f>VLOOKUP(B5,Price_Reference!$A:$B,2,0)</f>
        <v/>
      </c>
      <c r="G5" s="18">
        <f>D5*E5</f>
        <v/>
      </c>
      <c r="H5" s="18">
        <f>D5*F5</f>
        <v/>
      </c>
      <c r="I5" s="18">
        <f>H5-G5</f>
        <v/>
      </c>
      <c r="J5" s="19">
        <f>(H5-G5)/G5</f>
        <v/>
      </c>
      <c r="K5" s="19">
        <f>G5/SUM($G$2:$G$9)</f>
        <v/>
      </c>
      <c r="L5" s="20">
        <f>IF(I5&gt;0,"PROFIT","LOSS")</f>
        <v/>
      </c>
    </row>
    <row r="6">
      <c r="A6" s="17">
        <f>Portfolio_Input!A6</f>
        <v/>
      </c>
      <c r="B6" s="17">
        <f>Portfolio_Input!B6</f>
        <v/>
      </c>
      <c r="C6" s="17">
        <f>Portfolio_Input!C6</f>
        <v/>
      </c>
      <c r="D6" s="17">
        <f>Portfolio_Input!D6</f>
        <v/>
      </c>
      <c r="E6" s="18">
        <f>Portfolio_Input!E6</f>
        <v/>
      </c>
      <c r="F6" s="18">
        <f>VLOOKUP(B6,Price_Reference!$A:$B,2,0)</f>
        <v/>
      </c>
      <c r="G6" s="18">
        <f>D6*E6</f>
        <v/>
      </c>
      <c r="H6" s="18">
        <f>D6*F6</f>
        <v/>
      </c>
      <c r="I6" s="18">
        <f>H6-G6</f>
        <v/>
      </c>
      <c r="J6" s="19">
        <f>(H6-G6)/G6</f>
        <v/>
      </c>
      <c r="K6" s="19">
        <f>G6/SUM($G$2:$G$9)</f>
        <v/>
      </c>
      <c r="L6" s="20">
        <f>IF(I6&gt;0,"PROFIT","LOSS")</f>
        <v/>
      </c>
    </row>
    <row r="7">
      <c r="A7" s="17">
        <f>Portfolio_Input!A7</f>
        <v/>
      </c>
      <c r="B7" s="17">
        <f>Portfolio_Input!B7</f>
        <v/>
      </c>
      <c r="C7" s="17">
        <f>Portfolio_Input!C7</f>
        <v/>
      </c>
      <c r="D7" s="17">
        <f>Portfolio_Input!D7</f>
        <v/>
      </c>
      <c r="E7" s="18">
        <f>Portfolio_Input!E7</f>
        <v/>
      </c>
      <c r="F7" s="18">
        <f>VLOOKUP(B7,Price_Reference!$A:$B,2,0)</f>
        <v/>
      </c>
      <c r="G7" s="18">
        <f>D7*E7</f>
        <v/>
      </c>
      <c r="H7" s="18">
        <f>D7*F7</f>
        <v/>
      </c>
      <c r="I7" s="18">
        <f>H7-G7</f>
        <v/>
      </c>
      <c r="J7" s="19">
        <f>(H7-G7)/G7</f>
        <v/>
      </c>
      <c r="K7" s="19">
        <f>G7/SUM($G$2:$G$9)</f>
        <v/>
      </c>
      <c r="L7" s="20">
        <f>IF(I7&gt;0,"PROFIT","LOSS")</f>
        <v/>
      </c>
    </row>
    <row r="8">
      <c r="A8" s="17">
        <f>Portfolio_Input!A8</f>
        <v/>
      </c>
      <c r="B8" s="17">
        <f>Portfolio_Input!B8</f>
        <v/>
      </c>
      <c r="C8" s="17">
        <f>Portfolio_Input!C8</f>
        <v/>
      </c>
      <c r="D8" s="17">
        <f>Portfolio_Input!D8</f>
        <v/>
      </c>
      <c r="E8" s="18">
        <f>Portfolio_Input!E8</f>
        <v/>
      </c>
      <c r="F8" s="18">
        <f>VLOOKUP(B8,Price_Reference!$A:$B,2,0)</f>
        <v/>
      </c>
      <c r="G8" s="18">
        <f>D8*E8</f>
        <v/>
      </c>
      <c r="H8" s="18">
        <f>D8*F8</f>
        <v/>
      </c>
      <c r="I8" s="18">
        <f>H8-G8</f>
        <v/>
      </c>
      <c r="J8" s="19">
        <f>(H8-G8)/G8</f>
        <v/>
      </c>
      <c r="K8" s="19">
        <f>G8/SUM($G$2:$G$9)</f>
        <v/>
      </c>
      <c r="L8" s="20">
        <f>IF(I8&gt;0,"PROFIT","LOSS")</f>
        <v/>
      </c>
    </row>
    <row r="9">
      <c r="A9" s="17">
        <f>Portfolio_Input!A9</f>
        <v/>
      </c>
      <c r="B9" s="17">
        <f>Portfolio_Input!B9</f>
        <v/>
      </c>
      <c r="C9" s="17">
        <f>Portfolio_Input!C9</f>
        <v/>
      </c>
      <c r="D9" s="17">
        <f>Portfolio_Input!D9</f>
        <v/>
      </c>
      <c r="E9" s="18">
        <f>Portfolio_Input!E9</f>
        <v/>
      </c>
      <c r="F9" s="18">
        <f>VLOOKUP(B9,Price_Reference!$A:$B,2,0)</f>
        <v/>
      </c>
      <c r="G9" s="18">
        <f>D9*E9</f>
        <v/>
      </c>
      <c r="H9" s="18">
        <f>D9*F9</f>
        <v/>
      </c>
      <c r="I9" s="18">
        <f>H9-G9</f>
        <v/>
      </c>
      <c r="J9" s="19">
        <f>(H9-G9)/G9</f>
        <v/>
      </c>
      <c r="K9" s="19">
        <f>G9/SUM($G$2:$G$9)</f>
        <v/>
      </c>
      <c r="L9" s="20">
        <f>IF(I9&gt;0,"PROFIT","LOSS")</f>
        <v/>
      </c>
    </row>
    <row r="10">
      <c r="A10" s="21" t="inlineStr">
        <is>
          <t>TOTAL</t>
        </is>
      </c>
      <c r="G10" s="22">
        <f>SUM(G2:G9)</f>
        <v/>
      </c>
      <c r="H10" s="22">
        <f>SUM(H2:H9)</f>
        <v/>
      </c>
      <c r="I10" s="22">
        <f>SUM(I2:I9)</f>
        <v/>
      </c>
      <c r="J10" s="23">
        <f>(H10-G10)/G10</f>
        <v/>
      </c>
      <c r="K10" s="23">
        <f>SUM(K2:K9)</f>
        <v/>
      </c>
    </row>
  </sheetData>
  <conditionalFormatting sqref="I2:I9">
    <cfRule type="colorScale" priority="1">
      <colorScale>
        <cfvo type="min"/>
        <cfvo type="percentile" val="50"/>
        <cfvo type="max"/>
        <color rgb="00F8696B"/>
        <color rgb="00FFEB84"/>
        <color rgb="0063BE7B"/>
      </colorScale>
    </cfRule>
  </conditionalFormatting>
  <conditionalFormatting sqref="L2:L9">
    <cfRule type="expression" priority="2" dxfId="0">
      <formula>L2="PROFIT"</formula>
    </cfRule>
    <cfRule type="expression" priority="3" dxfId="1">
      <formula>L2="LOSS"</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4"/>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 customWidth="1" min="9" max="9"/>
    <col width="16" customWidth="1" min="10" max="10"/>
    <col width="18" customWidth="1" min="11" max="11"/>
    <col width="18" customWidth="1" min="12" max="12"/>
    <col width="4" customWidth="1" min="13" max="13"/>
    <col width="4" customWidth="1" min="14" max="14"/>
    <col width="4" customWidth="1" min="15" max="15"/>
    <col width="4" customWidth="1" min="16" max="16"/>
    <col width="4" customWidth="1" min="17" max="17"/>
  </cols>
  <sheetData>
    <row r="1" ht="26" customHeight="1">
      <c r="A1" s="2" t="inlineStr">
        <is>
          <t>PORTFOLIO DASHBOARD — THARINEESH M (DEMO)</t>
        </is>
      </c>
      <c r="I1" s="1" t="n"/>
      <c r="J1" s="1" t="n"/>
      <c r="K1" s="1" t="n"/>
      <c r="L1" s="1" t="n"/>
      <c r="M1" s="1" t="n"/>
      <c r="N1" s="1" t="n"/>
      <c r="O1" s="1" t="n"/>
      <c r="P1" s="1" t="n"/>
      <c r="Q1" s="1" t="n"/>
    </row>
    <row r="2" ht="10" customHeight="1">
      <c r="I2" s="1" t="n"/>
      <c r="J2" s="24" t="inlineStr">
        <is>
          <t>Best Performer</t>
        </is>
      </c>
      <c r="K2" s="1" t="n"/>
      <c r="L2" s="1" t="n"/>
      <c r="M2" s="1" t="n"/>
      <c r="N2" s="1" t="n"/>
      <c r="O2" s="1" t="n"/>
      <c r="P2" s="1" t="n"/>
      <c r="Q2" s="1" t="n"/>
    </row>
    <row r="3">
      <c r="A3" s="1" t="n"/>
      <c r="B3" s="1" t="n"/>
      <c r="C3" s="1" t="n"/>
      <c r="D3" s="1" t="n"/>
      <c r="E3" s="1" t="n"/>
      <c r="F3" s="1" t="n"/>
      <c r="G3" s="1" t="n"/>
      <c r="H3" s="1" t="n"/>
      <c r="I3" s="1" t="n"/>
      <c r="J3" s="25">
        <f>INDEX(Portfolio_Calc!A$2:A$9,MATCH(MAX(Portfolio_Calc!J$2:J$9),Portfolio_Calc!J$2:J$9,0))</f>
        <v/>
      </c>
      <c r="K3" s="1" t="n"/>
      <c r="L3" s="1" t="n"/>
      <c r="M3" s="1" t="n"/>
      <c r="N3" s="1" t="n"/>
      <c r="O3" s="1" t="n"/>
      <c r="P3" s="1" t="n"/>
      <c r="Q3" s="1" t="n"/>
    </row>
    <row r="4">
      <c r="A4" s="26" t="inlineStr">
        <is>
          <t>Total Invested</t>
        </is>
      </c>
      <c r="B4" s="27" t="n"/>
      <c r="C4" s="26" t="inlineStr">
        <is>
          <t>Current Value</t>
        </is>
      </c>
      <c r="D4" s="27" t="n"/>
      <c r="E4" s="26" t="inlineStr">
        <is>
          <t>Total G/L</t>
        </is>
      </c>
      <c r="F4" s="27" t="n"/>
      <c r="G4" s="26" t="inlineStr">
        <is>
          <t>Return %</t>
        </is>
      </c>
      <c r="H4" s="27" t="n"/>
      <c r="I4" s="1" t="n"/>
      <c r="J4" s="24" t="inlineStr">
        <is>
          <t>Best Return %</t>
        </is>
      </c>
      <c r="K4" s="1" t="n"/>
      <c r="L4" s="1" t="n"/>
      <c r="M4" s="1" t="n"/>
      <c r="N4" s="1" t="n"/>
      <c r="O4" s="1" t="n"/>
      <c r="P4" s="1" t="n"/>
      <c r="Q4" s="1" t="n"/>
    </row>
    <row r="5">
      <c r="A5" s="28">
        <f>Portfolio_Calc!G10</f>
        <v/>
      </c>
      <c r="B5" s="27" t="n"/>
      <c r="C5" s="28">
        <f>Portfolio_Calc!H10</f>
        <v/>
      </c>
      <c r="D5" s="27" t="n"/>
      <c r="E5" s="28">
        <f>Portfolio_Calc!I10</f>
        <v/>
      </c>
      <c r="F5" s="27" t="n"/>
      <c r="G5" s="29">
        <f>Portfolio_Calc!J10</f>
        <v/>
      </c>
      <c r="H5" s="27" t="n"/>
      <c r="I5" s="1" t="n"/>
      <c r="J5" s="30">
        <f>MAX(Portfolio_Calc!J2:J9)</f>
        <v/>
      </c>
      <c r="K5" s="1" t="n"/>
      <c r="L5" s="1" t="n"/>
      <c r="M5" s="1" t="n"/>
      <c r="N5" s="1" t="n"/>
      <c r="O5" s="1" t="n"/>
      <c r="P5" s="1" t="n"/>
      <c r="Q5" s="1" t="n"/>
    </row>
    <row r="6">
      <c r="A6" s="1" t="n"/>
      <c r="B6" s="1" t="n"/>
      <c r="C6" s="1" t="n"/>
      <c r="D6" s="1" t="n"/>
      <c r="E6" s="1" t="n"/>
      <c r="F6" s="1" t="n"/>
      <c r="G6" s="1" t="n"/>
      <c r="H6" s="1" t="n"/>
      <c r="I6" s="1" t="n"/>
      <c r="J6" s="24" t="inlineStr">
        <is>
          <t>Worst Performer</t>
        </is>
      </c>
      <c r="K6" s="1" t="n"/>
      <c r="L6" s="1" t="n"/>
      <c r="M6" s="1" t="n"/>
      <c r="N6" s="1" t="n"/>
      <c r="O6" s="1" t="n"/>
      <c r="P6" s="1" t="n"/>
      <c r="Q6" s="1" t="n"/>
    </row>
    <row r="7">
      <c r="A7" s="1" t="n"/>
      <c r="B7" s="1" t="n"/>
      <c r="C7" s="1" t="n"/>
      <c r="D7" s="1" t="n"/>
      <c r="E7" s="1" t="n"/>
      <c r="F7" s="1" t="n"/>
      <c r="G7" s="1" t="n"/>
      <c r="H7" s="1" t="n"/>
      <c r="I7" s="1" t="n"/>
      <c r="J7" s="25">
        <f>INDEX(Portfolio_Calc!A$2:A$9,MATCH(MIN(Portfolio_Calc!J$2:J$9),Portfolio_Calc!J$2:J$9,0))</f>
        <v/>
      </c>
      <c r="K7" s="1" t="n"/>
      <c r="L7" s="1" t="n"/>
      <c r="M7" s="1" t="n"/>
      <c r="N7" s="1" t="n"/>
      <c r="O7" s="1" t="n"/>
      <c r="P7" s="1" t="n"/>
      <c r="Q7" s="1" t="n"/>
    </row>
    <row r="8">
      <c r="A8" s="1" t="n"/>
      <c r="B8" s="1" t="n"/>
      <c r="C8" s="1" t="n"/>
      <c r="D8" s="1" t="n"/>
      <c r="E8" s="1" t="n"/>
      <c r="F8" s="1" t="n"/>
      <c r="G8" s="1" t="n"/>
      <c r="H8" s="1" t="n"/>
      <c r="I8" s="1" t="n"/>
      <c r="J8" s="24" t="inlineStr">
        <is>
          <t>Worst Return %</t>
        </is>
      </c>
      <c r="K8" s="1" t="n"/>
      <c r="L8" s="1" t="n"/>
      <c r="M8" s="1" t="n"/>
      <c r="N8" s="1" t="n"/>
      <c r="O8" s="1" t="n"/>
      <c r="P8" s="1" t="n"/>
      <c r="Q8" s="1" t="n"/>
    </row>
    <row r="9">
      <c r="A9" s="1" t="n"/>
      <c r="B9" s="1" t="n"/>
      <c r="C9" s="1" t="n"/>
      <c r="D9" s="1" t="n"/>
      <c r="E9" s="1" t="n"/>
      <c r="F9" s="1" t="n"/>
      <c r="G9" s="1" t="n"/>
      <c r="H9" s="1" t="n"/>
      <c r="I9" s="1" t="n"/>
      <c r="J9" s="30">
        <f>MIN(Portfolio_Calc!J2:J9)</f>
        <v/>
      </c>
      <c r="K9" s="1" t="n"/>
      <c r="L9" s="1" t="n"/>
      <c r="M9" s="1" t="n"/>
      <c r="N9" s="1" t="n"/>
      <c r="O9" s="1" t="n"/>
      <c r="P9" s="1" t="n"/>
      <c r="Q9" s="1" t="n"/>
    </row>
    <row r="10">
      <c r="A10" s="1" t="n"/>
      <c r="B10" s="1" t="n"/>
      <c r="C10" s="1" t="n"/>
      <c r="D10" s="1" t="n"/>
      <c r="E10" s="1" t="n"/>
      <c r="F10" s="1" t="n"/>
      <c r="G10" s="1" t="n"/>
      <c r="H10" s="1" t="n"/>
      <c r="I10" s="1" t="n"/>
      <c r="J10" s="24" t="inlineStr">
        <is>
          <t>Average Return</t>
        </is>
      </c>
      <c r="K10" s="1" t="n"/>
      <c r="L10" s="1" t="n"/>
      <c r="M10" s="1" t="n"/>
      <c r="N10" s="1" t="n"/>
      <c r="O10" s="1" t="n"/>
      <c r="P10" s="1" t="n"/>
      <c r="Q10" s="1" t="n"/>
    </row>
    <row r="11">
      <c r="A11" s="1" t="n"/>
      <c r="B11" s="1" t="n"/>
      <c r="C11" s="1" t="n"/>
      <c r="D11" s="1" t="n"/>
      <c r="E11" s="1" t="n"/>
      <c r="F11" s="1" t="n"/>
      <c r="G11" s="1" t="n"/>
      <c r="H11" s="1" t="n"/>
      <c r="I11" s="1" t="n"/>
      <c r="J11" s="30">
        <f>AVERAGE(Portfolio_Calc!J2:J9)</f>
        <v/>
      </c>
      <c r="K11" s="1" t="n"/>
      <c r="L11" s="1" t="n"/>
      <c r="M11" s="1" t="n"/>
      <c r="N11" s="1" t="n"/>
      <c r="O11" s="1" t="n"/>
      <c r="P11" s="1" t="n"/>
      <c r="Q11" s="1" t="n"/>
    </row>
    <row r="12">
      <c r="A12" s="1" t="n"/>
      <c r="B12" s="1" t="n"/>
      <c r="C12" s="1" t="n"/>
      <c r="D12" s="1" t="n"/>
      <c r="E12" s="1" t="n"/>
      <c r="F12" s="1" t="n"/>
      <c r="G12" s="1" t="n"/>
      <c r="H12" s="1" t="n"/>
      <c r="I12" s="1" t="n"/>
      <c r="J12" s="1" t="n"/>
      <c r="K12" s="1" t="n"/>
      <c r="L12" s="1" t="n"/>
      <c r="M12" s="1" t="n"/>
      <c r="N12" s="1" t="n"/>
      <c r="O12" s="1" t="n"/>
      <c r="P12" s="1" t="n"/>
      <c r="Q12" s="1" t="n"/>
    </row>
    <row r="13">
      <c r="A13" s="1" t="n"/>
      <c r="B13" s="1" t="n"/>
      <c r="C13" s="1" t="n"/>
      <c r="D13" s="1" t="n"/>
      <c r="E13" s="1" t="n"/>
      <c r="F13" s="1" t="n"/>
      <c r="G13" s="1" t="n"/>
      <c r="H13" s="1" t="n"/>
      <c r="I13" s="1" t="n"/>
      <c r="J13" s="1" t="n"/>
      <c r="K13" s="1" t="n"/>
      <c r="L13" s="1" t="n"/>
      <c r="M13" s="1" t="n"/>
      <c r="N13" s="1" t="n"/>
      <c r="O13" s="1" t="n"/>
      <c r="P13" s="1" t="n"/>
      <c r="Q13" s="1" t="n"/>
    </row>
    <row r="14">
      <c r="A14" s="1" t="n"/>
      <c r="B14" s="1" t="n"/>
      <c r="C14" s="1" t="n"/>
      <c r="D14" s="1" t="n"/>
      <c r="E14" s="1" t="n"/>
      <c r="F14" s="1" t="n"/>
      <c r="G14" s="1" t="n"/>
      <c r="H14" s="1" t="n"/>
      <c r="I14" s="1" t="n"/>
      <c r="J14" s="1" t="n"/>
      <c r="K14" s="1" t="n"/>
      <c r="L14" s="1" t="n"/>
      <c r="M14" s="1" t="n"/>
      <c r="N14" s="1" t="n"/>
      <c r="O14" s="1" t="n"/>
      <c r="P14" s="1" t="n"/>
      <c r="Q14" s="1" t="n"/>
    </row>
    <row r="15">
      <c r="A15" s="1" t="n"/>
      <c r="B15" s="1" t="n"/>
      <c r="C15" s="1" t="n"/>
      <c r="D15" s="1" t="n"/>
      <c r="E15" s="1" t="n"/>
      <c r="F15" s="1" t="n"/>
      <c r="G15" s="1" t="n"/>
      <c r="H15" s="1" t="n"/>
      <c r="I15" s="1" t="n"/>
      <c r="J15" s="1" t="n"/>
      <c r="K15" s="1" t="n"/>
      <c r="L15" s="1" t="n"/>
      <c r="M15" s="1" t="n"/>
      <c r="N15" s="1" t="n"/>
      <c r="O15" s="1" t="n"/>
      <c r="P15" s="1" t="n"/>
      <c r="Q15" s="1" t="n"/>
    </row>
    <row r="16">
      <c r="A16" s="1" t="n"/>
      <c r="B16" s="1" t="n"/>
      <c r="C16" s="1" t="n"/>
      <c r="D16" s="1" t="n"/>
      <c r="E16" s="1" t="n"/>
      <c r="F16" s="1" t="n"/>
      <c r="G16" s="1" t="n"/>
      <c r="H16" s="1" t="n"/>
      <c r="I16" s="1" t="n"/>
      <c r="J16" s="1" t="n"/>
      <c r="K16" s="1" t="n"/>
      <c r="L16" s="1" t="n"/>
      <c r="M16" s="1" t="n"/>
      <c r="N16" s="1" t="n"/>
      <c r="O16" s="1" t="n"/>
      <c r="P16" s="1" t="n"/>
      <c r="Q16" s="1" t="n"/>
    </row>
    <row r="17">
      <c r="A17" s="1" t="n"/>
      <c r="B17" s="1" t="n"/>
      <c r="C17" s="1" t="n"/>
      <c r="D17" s="1" t="n"/>
      <c r="E17" s="1" t="n"/>
      <c r="F17" s="1" t="n"/>
      <c r="G17" s="1" t="n"/>
      <c r="H17" s="1" t="n"/>
      <c r="I17" s="1" t="n"/>
      <c r="J17" s="1" t="n"/>
      <c r="K17" s="1" t="n"/>
      <c r="L17" s="1" t="n"/>
      <c r="M17" s="1" t="n"/>
      <c r="N17" s="1" t="n"/>
      <c r="O17" s="1" t="n"/>
      <c r="P17" s="1" t="n"/>
      <c r="Q17" s="1" t="n"/>
    </row>
    <row r="18">
      <c r="A18" s="1" t="n"/>
      <c r="B18" s="1" t="n"/>
      <c r="C18" s="1" t="n"/>
      <c r="D18" s="1" t="n"/>
      <c r="E18" s="1" t="n"/>
      <c r="F18" s="1" t="n"/>
      <c r="G18" s="1" t="n"/>
      <c r="H18" s="1" t="n"/>
      <c r="I18" s="1" t="n"/>
      <c r="J18" s="1" t="n"/>
      <c r="K18" s="1" t="n"/>
      <c r="L18" s="1" t="n"/>
      <c r="M18" s="1" t="n"/>
      <c r="N18" s="1" t="n"/>
      <c r="O18" s="1" t="n"/>
      <c r="P18" s="1" t="n"/>
      <c r="Q18" s="1" t="n"/>
    </row>
    <row r="19">
      <c r="A19" s="1" t="n"/>
      <c r="B19" s="1" t="n"/>
      <c r="C19" s="1" t="n"/>
      <c r="D19" s="1" t="n"/>
      <c r="E19" s="1" t="n"/>
      <c r="F19" s="1" t="n"/>
      <c r="G19" s="1" t="n"/>
      <c r="H19" s="1" t="n"/>
      <c r="I19" s="1" t="n"/>
      <c r="J19" s="1" t="n"/>
      <c r="K19" s="1" t="n"/>
      <c r="L19" s="1" t="n"/>
      <c r="M19" s="1" t="n"/>
      <c r="N19" s="1" t="n"/>
      <c r="O19" s="1" t="n"/>
      <c r="P19" s="1" t="n"/>
      <c r="Q19" s="1" t="n"/>
    </row>
    <row r="20">
      <c r="A20" s="1" t="n"/>
      <c r="B20" s="1" t="n"/>
      <c r="C20" s="1" t="n"/>
      <c r="D20" s="1" t="n"/>
      <c r="E20" s="1" t="n"/>
      <c r="F20" s="1" t="n"/>
      <c r="G20" s="1" t="n"/>
      <c r="H20" s="1" t="n"/>
      <c r="I20" s="1" t="n"/>
      <c r="J20" s="1" t="n"/>
      <c r="K20" s="1" t="n"/>
      <c r="L20" s="1" t="n"/>
      <c r="M20" s="1" t="n"/>
      <c r="N20" s="1" t="n"/>
      <c r="O20" s="1" t="n"/>
      <c r="P20" s="1" t="n"/>
      <c r="Q20" s="1" t="n"/>
    </row>
    <row r="21">
      <c r="A21" s="1" t="n"/>
      <c r="B21" s="1" t="n"/>
      <c r="C21" s="1" t="n"/>
      <c r="D21" s="1" t="n"/>
      <c r="E21" s="1" t="n"/>
      <c r="F21" s="1" t="n"/>
      <c r="G21" s="1" t="n"/>
      <c r="H21" s="1" t="n"/>
      <c r="I21" s="1" t="n"/>
      <c r="J21" s="1" t="n"/>
      <c r="K21" s="1" t="n"/>
      <c r="L21" s="1" t="n"/>
      <c r="M21" s="1" t="n"/>
      <c r="N21" s="1" t="n"/>
      <c r="O21" s="1" t="n"/>
      <c r="P21" s="1" t="n"/>
      <c r="Q21" s="1" t="n"/>
    </row>
    <row r="22">
      <c r="A22" s="1" t="n"/>
      <c r="B22" s="1" t="n"/>
      <c r="C22" s="1" t="n"/>
      <c r="D22" s="1" t="n"/>
      <c r="E22" s="1" t="n"/>
      <c r="F22" s="1" t="n"/>
      <c r="G22" s="1" t="n"/>
      <c r="H22" s="1" t="n"/>
      <c r="I22" s="1" t="n"/>
      <c r="J22" s="1" t="n"/>
      <c r="K22" s="1" t="n"/>
      <c r="L22" s="1" t="n"/>
      <c r="M22" s="1" t="n"/>
      <c r="N22" s="1" t="n"/>
      <c r="O22" s="1" t="n"/>
      <c r="P22" s="1" t="n"/>
      <c r="Q22" s="1" t="n"/>
    </row>
    <row r="23">
      <c r="A23" s="1" t="n"/>
      <c r="B23" s="1" t="n"/>
      <c r="C23" s="1" t="n"/>
      <c r="D23" s="1" t="n"/>
      <c r="E23" s="1" t="n"/>
      <c r="F23" s="1" t="n"/>
      <c r="G23" s="1" t="n"/>
      <c r="H23" s="1" t="n"/>
      <c r="I23" s="1" t="n"/>
      <c r="J23" s="1" t="n"/>
      <c r="K23" s="1" t="n"/>
      <c r="L23" s="1" t="n"/>
      <c r="M23" s="1" t="n"/>
      <c r="N23" s="1" t="n"/>
      <c r="O23" s="1" t="n"/>
      <c r="P23" s="1" t="n"/>
      <c r="Q23" s="1" t="n"/>
    </row>
    <row r="24">
      <c r="A24" s="1" t="n"/>
      <c r="B24" s="1" t="n"/>
      <c r="C24" s="1" t="n"/>
      <c r="D24" s="1" t="n"/>
      <c r="E24" s="1" t="n"/>
      <c r="F24" s="1" t="n"/>
      <c r="G24" s="1" t="n"/>
      <c r="H24" s="1" t="n"/>
      <c r="I24" s="1" t="n"/>
      <c r="J24" s="1" t="n"/>
      <c r="K24" s="1" t="n"/>
      <c r="L24" s="1" t="n"/>
      <c r="M24" s="1" t="n"/>
      <c r="N24" s="1" t="n"/>
      <c r="O24" s="1" t="n"/>
      <c r="P24" s="1" t="n"/>
      <c r="Q24" s="1" t="n"/>
    </row>
    <row r="25">
      <c r="A25" s="1" t="n"/>
      <c r="B25" s="1" t="n"/>
      <c r="C25" s="1" t="n"/>
      <c r="D25" s="1" t="n"/>
      <c r="E25" s="1" t="n"/>
      <c r="F25" s="1" t="n"/>
      <c r="G25" s="1" t="n"/>
      <c r="H25" s="1" t="n"/>
      <c r="I25" s="1" t="n"/>
      <c r="J25" s="1" t="n"/>
      <c r="K25" s="1" t="n"/>
      <c r="L25" s="1" t="n"/>
      <c r="M25" s="1" t="n"/>
      <c r="N25" s="1" t="n"/>
      <c r="O25" s="1" t="n"/>
      <c r="P25" s="1" t="n"/>
      <c r="Q25" s="1" t="n"/>
    </row>
    <row r="26">
      <c r="A26" s="1" t="n"/>
      <c r="B26" s="1" t="n"/>
      <c r="C26" s="1" t="n"/>
      <c r="D26" s="1" t="n"/>
      <c r="E26" s="1" t="n"/>
      <c r="F26" s="1" t="n"/>
      <c r="G26" s="1" t="n"/>
      <c r="H26" s="1" t="n"/>
      <c r="I26" s="1" t="n"/>
      <c r="J26" s="1" t="n"/>
      <c r="K26" s="1" t="n"/>
      <c r="L26" s="1" t="n"/>
      <c r="M26" s="1" t="n"/>
      <c r="N26" s="1" t="n"/>
      <c r="O26" s="1" t="n"/>
      <c r="P26" s="1" t="n"/>
      <c r="Q26" s="1" t="n"/>
    </row>
    <row r="27">
      <c r="A27" s="1" t="n"/>
      <c r="B27" s="1" t="n"/>
      <c r="C27" s="1" t="n"/>
      <c r="D27" s="1" t="n"/>
      <c r="E27" s="1" t="n"/>
      <c r="F27" s="1" t="n"/>
      <c r="G27" s="1" t="n"/>
      <c r="H27" s="1" t="n"/>
      <c r="I27" s="1" t="n"/>
      <c r="J27" s="1" t="n"/>
      <c r="K27" s="1" t="n"/>
      <c r="L27" s="1" t="n"/>
      <c r="M27" s="1" t="n"/>
      <c r="N27" s="1" t="n"/>
      <c r="O27" s="1" t="n"/>
      <c r="P27" s="1" t="n"/>
      <c r="Q27" s="1" t="n"/>
    </row>
    <row r="28">
      <c r="A28" s="1" t="n"/>
      <c r="B28" s="1" t="n"/>
      <c r="C28" s="1" t="n"/>
      <c r="D28" s="1" t="n"/>
      <c r="E28" s="1" t="n"/>
      <c r="F28" s="1" t="n"/>
      <c r="G28" s="1" t="n"/>
      <c r="H28" s="1" t="n"/>
      <c r="I28" s="1" t="n"/>
      <c r="J28" s="1" t="n"/>
      <c r="K28" s="1" t="n"/>
      <c r="L28" s="1" t="n"/>
      <c r="M28" s="1" t="n"/>
      <c r="N28" s="1" t="n"/>
      <c r="O28" s="1" t="n"/>
      <c r="P28" s="1" t="n"/>
      <c r="Q28" s="1" t="n"/>
    </row>
    <row r="29">
      <c r="A29" s="1" t="n"/>
      <c r="B29" s="1" t="n"/>
      <c r="C29" s="1" t="n"/>
      <c r="D29" s="1" t="n"/>
      <c r="E29" s="1" t="n"/>
      <c r="F29" s="1" t="n"/>
      <c r="G29" s="1" t="n"/>
      <c r="H29" s="1" t="n"/>
      <c r="I29" s="1" t="n"/>
      <c r="J29" s="1" t="n"/>
      <c r="K29" s="1" t="n"/>
      <c r="L29" s="1" t="n"/>
      <c r="M29" s="1" t="n"/>
      <c r="N29" s="1" t="n"/>
      <c r="O29" s="1" t="n"/>
      <c r="P29" s="1" t="n"/>
      <c r="Q29" s="1" t="n"/>
    </row>
    <row r="30">
      <c r="A30" s="1" t="n"/>
      <c r="B30" s="1" t="n"/>
      <c r="C30" s="1" t="n"/>
      <c r="D30" s="1" t="n"/>
      <c r="E30" s="1" t="n"/>
      <c r="F30" s="1" t="n"/>
      <c r="G30" s="1" t="n"/>
      <c r="H30" s="1" t="n"/>
      <c r="I30" s="1" t="n"/>
      <c r="J30" s="31" t="inlineStr">
        <is>
          <t>Sector</t>
        </is>
      </c>
      <c r="K30" s="31" t="inlineStr">
        <is>
          <t>Investment Value</t>
        </is>
      </c>
      <c r="L30" s="1" t="n"/>
      <c r="M30" s="1" t="n"/>
      <c r="N30" s="1" t="n"/>
      <c r="O30" s="1" t="n"/>
      <c r="P30" s="1" t="n"/>
      <c r="Q30" s="1" t="n"/>
    </row>
    <row r="31">
      <c r="A31" s="1" t="n"/>
      <c r="B31" s="1" t="n"/>
      <c r="C31" s="1" t="n"/>
      <c r="D31" s="1" t="n"/>
      <c r="E31" s="1" t="n"/>
      <c r="F31" s="1" t="n"/>
      <c r="G31" s="1" t="n"/>
      <c r="H31" s="1" t="n"/>
      <c r="I31" s="1" t="n"/>
      <c r="J31" s="25" t="inlineStr">
        <is>
          <t>IT Services</t>
        </is>
      </c>
      <c r="K31" s="32">
        <f>SUMIF(Portfolio_Calc!C:C,"IT Services",Portfolio_Calc!G:G)</f>
        <v/>
      </c>
      <c r="L31" s="1" t="n"/>
      <c r="M31" s="1" t="n"/>
      <c r="N31" s="1" t="n"/>
      <c r="O31" s="1" t="n"/>
      <c r="P31" s="1" t="n"/>
      <c r="Q31" s="1" t="n"/>
    </row>
    <row r="32">
      <c r="A32" s="1" t="n"/>
      <c r="B32" s="1" t="n"/>
      <c r="C32" s="1" t="n"/>
      <c r="D32" s="1" t="n"/>
      <c r="E32" s="1" t="n"/>
      <c r="F32" s="1" t="n"/>
      <c r="G32" s="1" t="n"/>
      <c r="H32" s="1" t="n"/>
      <c r="I32" s="1" t="n"/>
      <c r="J32" s="25" t="inlineStr">
        <is>
          <t>Banking</t>
        </is>
      </c>
      <c r="K32" s="32">
        <f>SUMIF(Portfolio_Calc!C:C,"Banking",Portfolio_Calc!G:G)</f>
        <v/>
      </c>
      <c r="L32" s="1" t="n"/>
      <c r="M32" s="1" t="n"/>
      <c r="N32" s="1" t="n"/>
      <c r="O32" s="1" t="n"/>
      <c r="P32" s="1" t="n"/>
      <c r="Q32" s="1" t="n"/>
    </row>
    <row r="33">
      <c r="A33" s="1" t="n"/>
      <c r="B33" s="1" t="n"/>
      <c r="C33" s="1" t="n"/>
      <c r="D33" s="1" t="n"/>
      <c r="E33" s="1" t="n"/>
      <c r="F33" s="1" t="n"/>
      <c r="G33" s="1" t="n"/>
      <c r="H33" s="1" t="n"/>
      <c r="I33" s="1" t="n"/>
      <c r="J33" s="25" t="inlineStr">
        <is>
          <t>Conglomerate</t>
        </is>
      </c>
      <c r="K33" s="32">
        <f>SUMIF(Portfolio_Calc!C:C,"Conglomerate",Portfolio_Calc!G:G)</f>
        <v/>
      </c>
      <c r="L33" s="1" t="n"/>
      <c r="M33" s="1" t="n"/>
      <c r="N33" s="1" t="n"/>
      <c r="O33" s="1" t="n"/>
      <c r="P33" s="1" t="n"/>
      <c r="Q33" s="1" t="n"/>
    </row>
    <row r="34">
      <c r="A34" s="1" t="n"/>
      <c r="B34" s="1" t="n"/>
      <c r="C34" s="1" t="n"/>
      <c r="D34" s="1" t="n"/>
      <c r="E34" s="1" t="n"/>
      <c r="F34" s="1" t="n"/>
      <c r="G34" s="1" t="n"/>
      <c r="H34" s="1" t="n"/>
      <c r="I34" s="1" t="n"/>
      <c r="J34" s="25" t="inlineStr">
        <is>
          <t>Consumer</t>
        </is>
      </c>
      <c r="K34" s="32">
        <f>SUMIF(Portfolio_Calc!C:C,"Consumer",Portfolio_Calc!G:G)</f>
        <v/>
      </c>
      <c r="L34" s="1" t="n"/>
      <c r="M34" s="1" t="n"/>
      <c r="N34" s="1" t="n"/>
      <c r="O34" s="1" t="n"/>
      <c r="P34" s="1" t="n"/>
      <c r="Q34" s="1" t="n"/>
    </row>
    <row r="35">
      <c r="A35" s="1" t="n"/>
      <c r="B35" s="1" t="n"/>
      <c r="C35" s="1" t="n"/>
      <c r="D35" s="1" t="n"/>
      <c r="E35" s="1" t="n"/>
      <c r="F35" s="1" t="n"/>
      <c r="G35" s="1" t="n"/>
      <c r="H35" s="1" t="n"/>
      <c r="I35" s="1" t="n"/>
      <c r="J35" s="25" t="inlineStr">
        <is>
          <t>Auto</t>
        </is>
      </c>
      <c r="K35" s="32">
        <f>SUMIF(Portfolio_Calc!C:C,"Auto",Portfolio_Calc!G:G)</f>
        <v/>
      </c>
      <c r="L35" s="1" t="n"/>
      <c r="M35" s="1" t="n"/>
      <c r="N35" s="1" t="n"/>
      <c r="O35" s="1" t="n"/>
      <c r="P35" s="1" t="n"/>
      <c r="Q35" s="1" t="n"/>
    </row>
    <row r="36">
      <c r="A36" s="1" t="n"/>
      <c r="B36" s="1" t="n"/>
      <c r="C36" s="1" t="n"/>
      <c r="D36" s="1" t="n"/>
      <c r="E36" s="1" t="n"/>
      <c r="F36" s="1" t="n"/>
      <c r="G36" s="1" t="n"/>
      <c r="H36" s="1" t="n"/>
      <c r="I36" s="1" t="n"/>
      <c r="J36" s="25" t="inlineStr">
        <is>
          <t>Healthcare</t>
        </is>
      </c>
      <c r="K36" s="32">
        <f>SUMIF(Portfolio_Calc!C:C,"Healthcare",Portfolio_Calc!G:G)</f>
        <v/>
      </c>
      <c r="L36" s="1" t="n"/>
      <c r="M36" s="1" t="n"/>
      <c r="N36" s="1" t="n"/>
      <c r="O36" s="1" t="n"/>
      <c r="P36" s="1" t="n"/>
      <c r="Q36" s="1" t="n"/>
    </row>
    <row r="37">
      <c r="A37" s="1" t="n"/>
      <c r="B37" s="1" t="n"/>
      <c r="C37" s="1" t="n"/>
      <c r="D37" s="1" t="n"/>
      <c r="E37" s="1" t="n"/>
      <c r="F37" s="1" t="n"/>
      <c r="G37" s="1" t="n"/>
      <c r="H37" s="1" t="n"/>
      <c r="I37" s="1" t="n"/>
      <c r="J37" s="25" t="inlineStr">
        <is>
          <t>FMCG</t>
        </is>
      </c>
      <c r="K37" s="32">
        <f>SUMIF(Portfolio_Calc!C:C,"FMCG",Portfolio_Calc!G:G)</f>
        <v/>
      </c>
      <c r="L37" s="1" t="n"/>
      <c r="M37" s="1" t="n"/>
      <c r="N37" s="1" t="n"/>
      <c r="O37" s="1" t="n"/>
      <c r="P37" s="1" t="n"/>
      <c r="Q37" s="1" t="n"/>
    </row>
    <row r="38">
      <c r="A38" s="1" t="n"/>
      <c r="B38" s="1" t="n"/>
      <c r="C38" s="1" t="n"/>
      <c r="D38" s="1" t="n"/>
      <c r="E38" s="1" t="n"/>
      <c r="F38" s="1" t="n"/>
      <c r="G38" s="1" t="n"/>
      <c r="H38" s="1" t="n"/>
      <c r="I38" s="1" t="n"/>
      <c r="J38" s="1" t="n"/>
      <c r="K38" s="1" t="n"/>
      <c r="L38" s="1" t="n"/>
      <c r="M38" s="1" t="n"/>
      <c r="N38" s="1" t="n"/>
      <c r="O38" s="1" t="n"/>
      <c r="P38" s="1" t="n"/>
      <c r="Q38" s="1" t="n"/>
    </row>
    <row r="39">
      <c r="A39" s="1" t="n"/>
      <c r="B39" s="1" t="n"/>
      <c r="C39" s="1" t="n"/>
      <c r="D39" s="1" t="n"/>
      <c r="E39" s="1" t="n"/>
      <c r="F39" s="1" t="n"/>
      <c r="G39" s="1" t="n"/>
      <c r="H39" s="1" t="n"/>
      <c r="I39" s="1" t="n"/>
      <c r="J39" s="1" t="n"/>
      <c r="K39" s="1" t="n"/>
      <c r="L39" s="1" t="n"/>
      <c r="M39" s="1" t="n"/>
      <c r="N39" s="1" t="n"/>
      <c r="O39" s="1" t="n"/>
      <c r="P39" s="1" t="n"/>
      <c r="Q39" s="1" t="n"/>
    </row>
    <row r="40">
      <c r="A40" s="1" t="n"/>
      <c r="B40" s="1" t="n"/>
      <c r="C40" s="1" t="n"/>
      <c r="D40" s="1" t="n"/>
      <c r="E40" s="1" t="n"/>
      <c r="F40" s="1" t="n"/>
      <c r="G40" s="1" t="n"/>
      <c r="H40" s="1" t="n"/>
      <c r="I40" s="1" t="n"/>
      <c r="J40" s="1" t="n"/>
      <c r="K40" s="1" t="n"/>
      <c r="L40" s="1" t="n"/>
      <c r="M40" s="1" t="n"/>
      <c r="N40" s="1" t="n"/>
      <c r="O40" s="1" t="n"/>
      <c r="P40" s="1" t="n"/>
      <c r="Q40" s="1" t="n"/>
    </row>
    <row r="41">
      <c r="A41" s="1" t="n"/>
      <c r="B41" s="1" t="n"/>
      <c r="C41" s="1" t="n"/>
      <c r="D41" s="1" t="n"/>
      <c r="E41" s="1" t="n"/>
      <c r="F41" s="1" t="n"/>
      <c r="G41" s="1" t="n"/>
      <c r="H41" s="1" t="n"/>
      <c r="I41" s="1" t="n"/>
      <c r="J41" s="1" t="n"/>
      <c r="K41" s="1" t="n"/>
      <c r="L41" s="1" t="n"/>
      <c r="M41" s="1" t="n"/>
      <c r="N41" s="1" t="n"/>
      <c r="O41" s="1" t="n"/>
      <c r="P41" s="1" t="n"/>
      <c r="Q41" s="1" t="n"/>
    </row>
    <row r="42">
      <c r="A42" s="1" t="n"/>
      <c r="B42" s="1" t="n"/>
      <c r="C42" s="1" t="n"/>
      <c r="D42" s="1" t="n"/>
      <c r="E42" s="1" t="n"/>
      <c r="F42" s="1" t="n"/>
      <c r="G42" s="1" t="n"/>
      <c r="H42" s="1" t="n"/>
      <c r="I42" s="1" t="n"/>
      <c r="J42" s="1" t="n"/>
      <c r="K42" s="1" t="n"/>
      <c r="L42" s="1" t="n"/>
      <c r="M42" s="1" t="n"/>
      <c r="N42" s="1" t="n"/>
      <c r="O42" s="1" t="n"/>
      <c r="P42" s="1" t="n"/>
      <c r="Q42" s="1" t="n"/>
    </row>
    <row r="43">
      <c r="A43" s="1" t="n"/>
      <c r="B43" s="1" t="n"/>
      <c r="C43" s="1" t="n"/>
      <c r="D43" s="1" t="n"/>
      <c r="E43" s="1" t="n"/>
      <c r="F43" s="1" t="n"/>
      <c r="G43" s="1" t="n"/>
      <c r="H43" s="1" t="n"/>
      <c r="I43" s="1" t="n"/>
      <c r="J43" s="1" t="n"/>
      <c r="K43" s="1" t="n"/>
      <c r="L43" s="1" t="n"/>
      <c r="M43" s="1" t="n"/>
      <c r="N43" s="1" t="n"/>
      <c r="O43" s="1" t="n"/>
      <c r="P43" s="1" t="n"/>
      <c r="Q43" s="1" t="n"/>
    </row>
    <row r="44">
      <c r="A44" s="1" t="n"/>
      <c r="B44" s="1" t="n"/>
      <c r="C44" s="1" t="n"/>
      <c r="D44" s="1" t="n"/>
      <c r="E44" s="1" t="n"/>
      <c r="F44" s="1" t="n"/>
      <c r="G44" s="1" t="n"/>
      <c r="H44" s="1" t="n"/>
      <c r="I44" s="1" t="n"/>
      <c r="J44" s="1" t="n"/>
      <c r="K44" s="1" t="n"/>
      <c r="L44" s="1" t="n"/>
      <c r="M44" s="1" t="n"/>
      <c r="N44" s="1" t="n"/>
      <c r="O44" s="1" t="n"/>
      <c r="P44" s="1" t="n"/>
      <c r="Q44" s="1" t="n"/>
    </row>
  </sheetData>
  <mergeCells count="1">
    <mergeCell ref="A1:H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10"/>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2" customWidth="1" min="3" max="3"/>
    <col width="10" customWidth="1" min="4" max="4"/>
    <col width="10" customWidth="1" min="5" max="5"/>
    <col width="14" customWidth="1" min="6" max="6"/>
    <col width="14" customWidth="1" min="7" max="7"/>
    <col width="22" customWidth="1" min="8" max="8"/>
  </cols>
  <sheetData>
    <row r="1">
      <c r="A1" s="9" t="inlineStr">
        <is>
          <t>Date</t>
        </is>
      </c>
      <c r="B1" s="9" t="inlineStr">
        <is>
          <t>Stock</t>
        </is>
      </c>
      <c r="C1" s="9" t="inlineStr">
        <is>
          <t>Ticker</t>
        </is>
      </c>
      <c r="D1" s="9" t="inlineStr">
        <is>
          <t>Action</t>
        </is>
      </c>
      <c r="E1" s="9" t="inlineStr">
        <is>
          <t>Quantity</t>
        </is>
      </c>
      <c r="F1" s="9" t="inlineStr">
        <is>
          <t>Price (₹)</t>
        </is>
      </c>
      <c r="G1" s="9" t="inlineStr">
        <is>
          <t>Value (₹)</t>
        </is>
      </c>
      <c r="H1" s="9" t="inlineStr">
        <is>
          <t>Notes</t>
        </is>
      </c>
    </row>
    <row r="2">
      <c r="A2" s="12" t="n">
        <v>45383</v>
      </c>
      <c r="B2" s="10" t="inlineStr">
        <is>
          <t>Infosys Ltd</t>
        </is>
      </c>
      <c r="C2" s="10" t="inlineStr">
        <is>
          <t>INFY</t>
        </is>
      </c>
      <c r="D2" s="33" t="inlineStr">
        <is>
          <t>BUY</t>
        </is>
      </c>
      <c r="E2" s="10" t="n">
        <v>10</v>
      </c>
      <c r="F2" s="11" t="n">
        <v>1495.45</v>
      </c>
      <c r="G2" s="18">
        <f>E2*F2</f>
        <v/>
      </c>
      <c r="H2" s="10" t="inlineStr">
        <is>
          <t>Initial purchase</t>
        </is>
      </c>
    </row>
    <row r="3">
      <c r="A3" s="12" t="n">
        <v>45383</v>
      </c>
      <c r="B3" s="10" t="inlineStr">
        <is>
          <t>HDFC Bank</t>
        </is>
      </c>
      <c r="C3" s="10" t="inlineStr">
        <is>
          <t>HDFCBANK</t>
        </is>
      </c>
      <c r="D3" s="33" t="inlineStr">
        <is>
          <t>BUY</t>
        </is>
      </c>
      <c r="E3" s="10" t="n">
        <v>8</v>
      </c>
      <c r="F3" s="11" t="n">
        <v>735.25</v>
      </c>
      <c r="G3" s="18">
        <f>E3*F3</f>
        <v/>
      </c>
      <c r="H3" s="10" t="inlineStr">
        <is>
          <t>Initial purchase</t>
        </is>
      </c>
    </row>
    <row r="4">
      <c r="A4" s="12" t="n">
        <v>45383</v>
      </c>
      <c r="B4" s="10" t="inlineStr">
        <is>
          <t>Reliance Industries</t>
        </is>
      </c>
      <c r="C4" s="10" t="inlineStr">
        <is>
          <t>RELIANCE</t>
        </is>
      </c>
      <c r="D4" s="33" t="inlineStr">
        <is>
          <t>BUY</t>
        </is>
      </c>
      <c r="E4" s="10" t="n">
        <v>5</v>
      </c>
      <c r="F4" s="11" t="n">
        <v>1484.78</v>
      </c>
      <c r="G4" s="18">
        <f>E4*F4</f>
        <v/>
      </c>
      <c r="H4" s="10" t="inlineStr">
        <is>
          <t>Initial purchase</t>
        </is>
      </c>
    </row>
    <row r="5">
      <c r="A5" s="12" t="n">
        <v>45383</v>
      </c>
      <c r="B5" s="10" t="inlineStr">
        <is>
          <t>TCS Ltd</t>
        </is>
      </c>
      <c r="C5" s="10" t="inlineStr">
        <is>
          <t>TCS</t>
        </is>
      </c>
      <c r="D5" s="33" t="inlineStr">
        <is>
          <t>BUY</t>
        </is>
      </c>
      <c r="E5" s="10" t="n">
        <v>6</v>
      </c>
      <c r="F5" s="11" t="n">
        <v>3916.75</v>
      </c>
      <c r="G5" s="18">
        <f>E5*F5</f>
        <v/>
      </c>
      <c r="H5" s="10" t="inlineStr">
        <is>
          <t>Initial purchase</t>
        </is>
      </c>
    </row>
    <row r="6">
      <c r="A6" s="12" t="n">
        <v>45383</v>
      </c>
      <c r="B6" s="10" t="inlineStr">
        <is>
          <t>Asian Paints</t>
        </is>
      </c>
      <c r="C6" s="10" t="inlineStr">
        <is>
          <t>ASIANPAINT</t>
        </is>
      </c>
      <c r="D6" s="33" t="inlineStr">
        <is>
          <t>BUY</t>
        </is>
      </c>
      <c r="E6" s="10" t="n">
        <v>9</v>
      </c>
      <c r="F6" s="11" t="n">
        <v>2871</v>
      </c>
      <c r="G6" s="18">
        <f>E6*F6</f>
        <v/>
      </c>
      <c r="H6" s="10" t="inlineStr">
        <is>
          <t>Initial purchase</t>
        </is>
      </c>
    </row>
    <row r="7">
      <c r="A7" s="12" t="n">
        <v>45383</v>
      </c>
      <c r="B7" s="10" t="inlineStr">
        <is>
          <t>Maruti Suzuki</t>
        </is>
      </c>
      <c r="C7" s="10" t="inlineStr">
        <is>
          <t>MARUTI</t>
        </is>
      </c>
      <c r="D7" s="33" t="inlineStr">
        <is>
          <t>BUY</t>
        </is>
      </c>
      <c r="E7" s="10" t="n">
        <v>2</v>
      </c>
      <c r="F7" s="11" t="n">
        <v>12569.6</v>
      </c>
      <c r="G7" s="18">
        <f>E7*F7</f>
        <v/>
      </c>
      <c r="H7" s="10" t="inlineStr">
        <is>
          <t>Initial purchase</t>
        </is>
      </c>
    </row>
    <row r="8">
      <c r="A8" s="12" t="n">
        <v>45383</v>
      </c>
      <c r="B8" s="10" t="inlineStr">
        <is>
          <t>Sun Pharma</t>
        </is>
      </c>
      <c r="C8" s="10" t="inlineStr">
        <is>
          <t>SUNPHARMA</t>
        </is>
      </c>
      <c r="D8" s="33" t="inlineStr">
        <is>
          <t>BUY</t>
        </is>
      </c>
      <c r="E8" s="10" t="n">
        <v>15</v>
      </c>
      <c r="F8" s="11" t="n">
        <v>1629.25</v>
      </c>
      <c r="G8" s="18">
        <f>E8*F8</f>
        <v/>
      </c>
      <c r="H8" s="10" t="inlineStr">
        <is>
          <t>Initial purchase</t>
        </is>
      </c>
    </row>
    <row r="9">
      <c r="A9" s="12" t="n">
        <v>45383</v>
      </c>
      <c r="B9" s="10" t="inlineStr">
        <is>
          <t>ITC Ltd</t>
        </is>
      </c>
      <c r="C9" s="10" t="inlineStr">
        <is>
          <t>ITC</t>
        </is>
      </c>
      <c r="D9" s="33" t="inlineStr">
        <is>
          <t>BUY</t>
        </is>
      </c>
      <c r="E9" s="10" t="n">
        <v>50</v>
      </c>
      <c r="F9" s="11" t="n">
        <v>403.66</v>
      </c>
      <c r="G9" s="18">
        <f>E9*F9</f>
        <v/>
      </c>
      <c r="H9" s="10" t="inlineStr">
        <is>
          <t>Initial purchase</t>
        </is>
      </c>
    </row>
    <row r="10">
      <c r="A10" s="21" t="inlineStr">
        <is>
          <t>Total Capital Deployed</t>
        </is>
      </c>
      <c r="G10" s="34">
        <f>SUM(G2:G9)</f>
        <v/>
      </c>
    </row>
  </sheetData>
  <conditionalFormatting sqref="D2:D9">
    <cfRule type="expression" priority="1" dxfId="0">
      <formula>D2="BUY"</formula>
    </cfRule>
    <cfRule type="expression" priority="2" dxfId="1">
      <formula>D2="SELL"</formula>
    </cfRule>
  </conditionalFormatting>
  <dataValidations count="1">
    <dataValidation sqref="D2:D9" showDropDown="0" showInputMessage="0" showErrorMessage="0" allowBlank="0" type="list">
      <formula1>"BUY,SELL"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22" customWidth="1" min="1" max="1"/>
    <col width="18" customWidth="1" min="2" max="2"/>
    <col width="4" customWidth="1" min="3" max="3"/>
    <col width="4" customWidth="1" min="4" max="4"/>
    <col width="4" customWidth="1" min="5" max="5"/>
    <col width="4" customWidth="1" min="6" max="6"/>
    <col width="4" customWidth="1" min="7" max="7"/>
    <col width="4" customWidth="1" min="8" max="8"/>
  </cols>
  <sheetData>
    <row r="1">
      <c r="A1" s="2" t="inlineStr">
        <is>
          <t>PORTFOLIO SUMMARY — DEMO PORTFOLIO (FY2025)</t>
        </is>
      </c>
    </row>
    <row r="2">
      <c r="A2" s="5" t="inlineStr">
        <is>
          <t>Prepared by: Tharineesh M</t>
        </is>
      </c>
      <c r="B2" s="1" t="n"/>
      <c r="C2" s="1" t="n"/>
      <c r="D2" s="1" t="n"/>
      <c r="E2" s="1" t="n"/>
      <c r="F2" s="1" t="n"/>
      <c r="G2" s="1" t="n"/>
      <c r="H2" s="1" t="n"/>
    </row>
    <row r="3">
      <c r="A3" s="7" t="inlineStr">
        <is>
          <t>Period: April 1, 2024 – March 31, 2025</t>
        </is>
      </c>
      <c r="B3" s="1" t="n"/>
      <c r="C3" s="1" t="n"/>
      <c r="D3" s="1" t="n"/>
      <c r="E3" s="1" t="n"/>
      <c r="F3" s="1" t="n"/>
      <c r="G3" s="1" t="n"/>
      <c r="H3" s="1" t="n"/>
    </row>
    <row r="4">
      <c r="A4" s="7" t="inlineStr">
        <is>
          <t>Total Holdings: 8 stocks across 5 sectors</t>
        </is>
      </c>
      <c r="B4" s="1" t="n"/>
      <c r="C4" s="1" t="n"/>
      <c r="D4" s="1" t="n"/>
      <c r="E4" s="1" t="n"/>
      <c r="F4" s="1" t="n"/>
      <c r="G4" s="1" t="n"/>
      <c r="H4" s="1" t="n"/>
    </row>
    <row r="5">
      <c r="A5" s="1" t="n"/>
      <c r="B5" s="1" t="n"/>
      <c r="C5" s="1" t="n"/>
      <c r="D5" s="1" t="n"/>
      <c r="E5" s="1" t="n"/>
      <c r="F5" s="1" t="n"/>
      <c r="G5" s="1" t="n"/>
      <c r="H5" s="1" t="n"/>
    </row>
    <row r="6">
      <c r="A6" s="8" t="inlineStr">
        <is>
          <t>PERFORMANCE OVERVIEW</t>
        </is>
      </c>
      <c r="B6" s="1" t="n"/>
      <c r="C6" s="1" t="n"/>
      <c r="D6" s="1" t="n"/>
      <c r="E6" s="1" t="n"/>
      <c r="F6" s="1" t="n"/>
      <c r="G6" s="1" t="n"/>
      <c r="H6" s="1" t="n"/>
    </row>
    <row r="7">
      <c r="A7" s="7" t="inlineStr">
        <is>
          <t>Total Investment</t>
        </is>
      </c>
      <c r="B7" s="35">
        <f>Portfolio_Calc!G10</f>
        <v/>
      </c>
      <c r="C7" s="1" t="n"/>
      <c r="D7" s="1" t="n"/>
      <c r="E7" s="1" t="n"/>
      <c r="F7" s="1" t="n"/>
      <c r="G7" s="1" t="n"/>
      <c r="H7" s="1" t="n"/>
    </row>
    <row r="8">
      <c r="A8" s="7" t="inlineStr">
        <is>
          <t>Current Value</t>
        </is>
      </c>
      <c r="B8" s="35">
        <f>Portfolio_Calc!H10</f>
        <v/>
      </c>
      <c r="C8" s="1" t="n"/>
      <c r="D8" s="1" t="n"/>
      <c r="E8" s="1" t="n"/>
      <c r="F8" s="1" t="n"/>
      <c r="G8" s="1" t="n"/>
      <c r="H8" s="1" t="n"/>
    </row>
    <row r="9">
      <c r="A9" s="7" t="inlineStr">
        <is>
          <t>Absolute Return (₹)</t>
        </is>
      </c>
      <c r="B9" s="35">
        <f>Portfolio_Calc!I10</f>
        <v/>
      </c>
      <c r="C9" s="1" t="n"/>
      <c r="D9" s="1" t="n"/>
      <c r="E9" s="1" t="n"/>
      <c r="F9" s="1" t="n"/>
      <c r="G9" s="1" t="n"/>
      <c r="H9" s="1" t="n"/>
    </row>
    <row r="10">
      <c r="A10" s="7" t="inlineStr">
        <is>
          <t>Return (%)</t>
        </is>
      </c>
      <c r="B10" s="36">
        <f>Portfolio_Calc!J10</f>
        <v/>
      </c>
      <c r="C10" s="1" t="n"/>
      <c r="D10" s="1" t="n"/>
      <c r="E10" s="1" t="n"/>
      <c r="F10" s="1" t="n"/>
      <c r="G10" s="1" t="n"/>
      <c r="H10" s="1" t="n"/>
    </row>
    <row r="11">
      <c r="A11" s="1" t="n"/>
      <c r="B11" s="1" t="n"/>
      <c r="C11" s="1" t="n"/>
      <c r="D11" s="1" t="n"/>
      <c r="E11" s="1" t="n"/>
      <c r="F11" s="1" t="n"/>
      <c r="G11" s="1" t="n"/>
      <c r="H11" s="1" t="n"/>
    </row>
    <row r="12">
      <c r="A12" s="8" t="inlineStr">
        <is>
          <t>BEST AND WORST PERFORMERS</t>
        </is>
      </c>
      <c r="B12" s="1" t="n"/>
      <c r="C12" s="1" t="n"/>
      <c r="D12" s="1" t="n"/>
      <c r="E12" s="1" t="n"/>
      <c r="F12" s="1" t="n"/>
      <c r="G12" s="1" t="n"/>
      <c r="H12" s="1" t="n"/>
    </row>
    <row r="13">
      <c r="A13" s="1" t="inlineStr">
        <is>
          <t>Best Stock</t>
        </is>
      </c>
      <c r="B13" s="7">
        <f>INDEX(Portfolio_Calc!A$2:A$9,MATCH(MAX(Portfolio_Calc!J$2:J$9),Portfolio_Calc!J$2:J$9,0))</f>
        <v/>
      </c>
      <c r="C13" s="1" t="n"/>
      <c r="D13" s="1" t="n"/>
      <c r="E13" s="1" t="n"/>
      <c r="F13" s="1" t="n"/>
      <c r="G13" s="1" t="n"/>
      <c r="H13" s="1" t="n"/>
    </row>
    <row r="14">
      <c r="A14" s="1" t="inlineStr">
        <is>
          <t>Worst Stock</t>
        </is>
      </c>
      <c r="B14" s="7">
        <f>INDEX(Portfolio_Calc!A$2:A$9,MATCH(MIN(Portfolio_Calc!J$2:J$9),Portfolio_Calc!J$2:J$9,0))</f>
        <v/>
      </c>
      <c r="C14" s="1" t="n"/>
      <c r="D14" s="1" t="n"/>
      <c r="E14" s="1" t="n"/>
      <c r="F14" s="1" t="n"/>
      <c r="G14" s="1" t="n"/>
      <c r="H14" s="1" t="n"/>
    </row>
    <row r="15">
      <c r="A15" s="1" t="inlineStr">
        <is>
          <t>Average Return</t>
        </is>
      </c>
      <c r="B15" s="36">
        <f>AVERAGE(Portfolio_Calc!J2:J9)</f>
        <v/>
      </c>
      <c r="C15" s="1" t="n"/>
      <c r="D15" s="1" t="n"/>
      <c r="E15" s="1" t="n"/>
      <c r="F15" s="1" t="n"/>
      <c r="G15" s="1" t="n"/>
      <c r="H15" s="1" t="n"/>
    </row>
    <row r="16">
      <c r="A16" s="1" t="n"/>
      <c r="B16" s="1" t="n"/>
      <c r="C16" s="1" t="n"/>
      <c r="D16" s="1" t="n"/>
      <c r="E16" s="1" t="n"/>
      <c r="F16" s="1" t="n"/>
      <c r="G16" s="1" t="n"/>
      <c r="H16" s="1" t="n"/>
    </row>
    <row r="17">
      <c r="A17" s="8" t="inlineStr">
        <is>
          <t>SECTOR EXPOSURE</t>
        </is>
      </c>
      <c r="B17" s="1" t="n"/>
      <c r="C17" s="1" t="n"/>
      <c r="D17" s="1" t="n"/>
      <c r="E17" s="1" t="n"/>
      <c r="F17" s="1" t="n"/>
      <c r="G17" s="1" t="n"/>
      <c r="H17" s="1" t="n"/>
    </row>
    <row r="18">
      <c r="A18" s="1" t="inlineStr">
        <is>
          <t>IT Services</t>
        </is>
      </c>
      <c r="B18" s="37">
        <f>Dashboard!K31</f>
        <v/>
      </c>
      <c r="C18" s="1" t="n"/>
      <c r="D18" s="1" t="n"/>
      <c r="E18" s="1" t="n"/>
      <c r="F18" s="1" t="n"/>
      <c r="G18" s="1" t="n"/>
      <c r="H18" s="1" t="n"/>
    </row>
    <row r="19">
      <c r="A19" s="1" t="inlineStr">
        <is>
          <t>Banking</t>
        </is>
      </c>
      <c r="B19" s="37">
        <f>Dashboard!K32</f>
        <v/>
      </c>
      <c r="C19" s="1" t="n"/>
      <c r="D19" s="1" t="n"/>
      <c r="E19" s="1" t="n"/>
      <c r="F19" s="1" t="n"/>
      <c r="G19" s="1" t="n"/>
      <c r="H19" s="1" t="n"/>
    </row>
    <row r="20">
      <c r="A20" s="1" t="inlineStr">
        <is>
          <t>Conglomerate</t>
        </is>
      </c>
      <c r="B20" s="37">
        <f>Dashboard!K33</f>
        <v/>
      </c>
      <c r="C20" s="1" t="n"/>
      <c r="D20" s="1" t="n"/>
      <c r="E20" s="1" t="n"/>
      <c r="F20" s="1" t="n"/>
      <c r="G20" s="1" t="n"/>
      <c r="H20" s="1" t="n"/>
    </row>
    <row r="21">
      <c r="A21" s="1" t="inlineStr">
        <is>
          <t>Consumer</t>
        </is>
      </c>
      <c r="B21" s="37">
        <f>Dashboard!K34</f>
        <v/>
      </c>
      <c r="C21" s="1" t="n"/>
      <c r="D21" s="1" t="n"/>
      <c r="E21" s="1" t="n"/>
      <c r="F21" s="1" t="n"/>
      <c r="G21" s="1" t="n"/>
      <c r="H21" s="1" t="n"/>
    </row>
    <row r="22">
      <c r="A22" s="1" t="inlineStr">
        <is>
          <t>Auto</t>
        </is>
      </c>
      <c r="B22" s="37">
        <f>Dashboard!K35</f>
        <v/>
      </c>
      <c r="C22" s="1" t="n"/>
      <c r="D22" s="1" t="n"/>
      <c r="E22" s="1" t="n"/>
      <c r="F22" s="1" t="n"/>
      <c r="G22" s="1" t="n"/>
      <c r="H22" s="1" t="n"/>
    </row>
    <row r="23">
      <c r="A23" s="1" t="inlineStr">
        <is>
          <t>Healthcare</t>
        </is>
      </c>
      <c r="B23" s="37">
        <f>Dashboard!K36</f>
        <v/>
      </c>
      <c r="C23" s="1" t="n"/>
      <c r="D23" s="1" t="n"/>
      <c r="E23" s="1" t="n"/>
      <c r="F23" s="1" t="n"/>
      <c r="G23" s="1" t="n"/>
      <c r="H23" s="1" t="n"/>
    </row>
    <row r="24">
      <c r="A24" s="1" t="inlineStr">
        <is>
          <t>FMCG</t>
        </is>
      </c>
      <c r="B24" s="37">
        <f>Dashboard!K37</f>
        <v/>
      </c>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38" t="inlineStr">
        <is>
          <t>NOTE: This is a demo portfolio built for project demonstration.</t>
        </is>
      </c>
      <c r="B27" s="1" t="n"/>
      <c r="C27" s="1" t="n"/>
      <c r="D27" s="1" t="n"/>
      <c r="E27" s="1" t="n"/>
      <c r="F27" s="1" t="n"/>
      <c r="G27" s="1" t="n"/>
      <c r="H27" s="1" t="n"/>
    </row>
    <row r="28">
      <c r="A28" s="38" t="inlineStr">
        <is>
          <t>All prices sourced from historical market data pages.</t>
        </is>
      </c>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8" defaultRowHeight="15"/>
  <cols>
    <col width="112" customWidth="1" min="1" max="1"/>
    <col width="4" customWidth="1" min="2" max="2"/>
    <col width="4" customWidth="1" min="3" max="3"/>
    <col width="4" customWidth="1" min="4" max="4"/>
    <col width="4" customWidth="1" min="5" max="5"/>
    <col width="4" customWidth="1" min="6" max="6"/>
    <col width="4" customWidth="1" min="7" max="7"/>
    <col width="4" customWidth="1" min="8" max="8"/>
  </cols>
  <sheetData>
    <row r="1">
      <c r="A1" s="2" t="inlineStr">
        <is>
          <t>METHODOLOGY NOTES</t>
        </is>
      </c>
    </row>
    <row r="2">
      <c r="A2" s="1" t="n"/>
      <c r="B2" s="1" t="n"/>
      <c r="C2" s="1" t="n"/>
      <c r="D2" s="1" t="n"/>
      <c r="E2" s="1" t="n"/>
      <c r="F2" s="1" t="n"/>
      <c r="G2" s="1" t="n"/>
      <c r="H2" s="1" t="n"/>
    </row>
    <row r="3" ht="45" customHeight="1">
      <c r="A3" s="39" t="inlineStr">
        <is>
          <t>1. PRICE DATA
   Buy prices represent the closing price of each stock on April 1, 2024, sourced from historical data pages.
   Current prices represent closing prices on April 1, 2025, sourced from the same pages.</t>
        </is>
      </c>
    </row>
    <row r="4" ht="10" customHeight="1"/>
    <row r="5">
      <c r="A5" s="1" t="n"/>
      <c r="B5" s="1" t="n"/>
      <c r="C5" s="1" t="n"/>
      <c r="D5" s="1" t="n"/>
      <c r="E5" s="1" t="n"/>
      <c r="F5" s="1" t="n"/>
      <c r="G5" s="1" t="n"/>
      <c r="H5" s="1" t="n"/>
    </row>
    <row r="6" ht="45" customHeight="1">
      <c r="A6" s="39" t="inlineStr">
        <is>
          <t>2. PORTFOLIO CONSTRUCTION
   This is a demo portfolio constructed to demonstrate Excel-based portfolio tracking, formula logic, and financial analysis skills.
   Holdings and quantities were selected to represent a diversified portfolio across 5 sectors.</t>
        </is>
      </c>
    </row>
    <row r="7" ht="10" customHeight="1"/>
    <row r="8">
      <c r="A8" s="1" t="n"/>
      <c r="B8" s="1" t="n"/>
      <c r="C8" s="1" t="n"/>
      <c r="D8" s="1" t="n"/>
      <c r="E8" s="1" t="n"/>
      <c r="F8" s="1" t="n"/>
      <c r="G8" s="1" t="n"/>
      <c r="H8" s="1" t="n"/>
    </row>
    <row r="9" ht="45" customHeight="1">
      <c r="A9" s="39" t="inlineStr">
        <is>
          <t>3. FORMULA LOGIC
   - Current prices are fetched dynamically from Price_Reference using VLOOKUP
   - Portfolio weights use absolute references to ensure accurate percentage calculation
   - Sector allocation uses SUMIF to aggregate investment by sector
   - Best/Worst performer identification uses INDEX-MATCH combination</t>
        </is>
      </c>
    </row>
    <row r="10" ht="10" customHeight="1"/>
    <row r="11">
      <c r="A11" s="1" t="n"/>
      <c r="B11" s="1" t="n"/>
      <c r="C11" s="1" t="n"/>
      <c r="D11" s="1" t="n"/>
      <c r="E11" s="1" t="n"/>
      <c r="F11" s="1" t="n"/>
      <c r="G11" s="1" t="n"/>
      <c r="H11" s="1" t="n"/>
    </row>
    <row r="12" ht="45" customHeight="1">
      <c r="A12" s="39" t="inlineStr">
        <is>
          <t>4. HOW TO UPDATE
   Step 1: Open the Price_Reference sheet
   Step 2: Update Column B values with new market prices
   Step 3: All Portfolio_Calc and Dashboard calculations update automatically
   Step 4: No other changes needed</t>
        </is>
      </c>
    </row>
    <row r="13" ht="10" customHeight="1"/>
    <row r="14">
      <c r="A14" s="1" t="n"/>
      <c r="B14" s="1" t="n"/>
      <c r="C14" s="1" t="n"/>
      <c r="D14" s="1" t="n"/>
      <c r="E14" s="1" t="n"/>
      <c r="F14" s="1" t="n"/>
      <c r="G14" s="1" t="n"/>
      <c r="H14" s="1" t="n"/>
    </row>
    <row r="15" ht="45" customHeight="1">
      <c r="A15" s="39" t="inlineStr">
        <is>
          <t>5. FORMULAS USED
   - VLOOKUP: Dynamic price lookup from reference table
   - SUMIF: Sector-wise investment aggregation
   - INDEX-MATCH: Best and worst performer identification
   - IF with Conditional Formatting: Profit/Loss status
   - SUM, AVERAGE, MAX, MIN: Portfolio-level aggregation</t>
        </is>
      </c>
    </row>
    <row r="16" ht="10" customHeight="1"/>
    <row r="17">
      <c r="A17" s="1" t="n"/>
      <c r="B17" s="1" t="n"/>
      <c r="C17" s="1" t="n"/>
      <c r="D17" s="1" t="n"/>
      <c r="E17" s="1" t="n"/>
      <c r="F17" s="1" t="n"/>
      <c r="G17" s="1" t="n"/>
      <c r="H17" s="1" t="n"/>
    </row>
    <row r="18" ht="45" customHeight="1">
      <c r="A18" s="39" t="inlineStr">
        <is>
          <t>6. LIMITATIONS
   - Does not account for brokerage fees or transaction costs
   - Does not account for dividends received during the period
   - Prices are end-of-day historical prices, not intraday</t>
        </is>
      </c>
    </row>
    <row r="19" ht="10" customHeight="1"/>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sheetData>
  <mergeCells count="7">
    <mergeCell ref="A12:H13"/>
    <mergeCell ref="A9:H10"/>
    <mergeCell ref="A3:H4"/>
    <mergeCell ref="A15:H16"/>
    <mergeCell ref="A6:H7"/>
    <mergeCell ref="A18:H19"/>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2026-05-14T11:14:46Z</dcterms:created>
  <dcterms:modified xmlns:dcterms="http://purl.org/dc/terms/" xmlns:xsi="http://www.w3.org/2001/XMLSchema-instance" xsi:type="dcterms:W3CDTF">2026-05-14T11:14:46Z</dcterms:modified>
</cp:coreProperties>
</file>